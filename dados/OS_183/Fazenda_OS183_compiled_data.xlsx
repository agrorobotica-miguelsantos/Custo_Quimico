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Agroserver\gestao_projetos\08_Processo_Químico\02_Clientes\_teste_dash_custos_quimico\OS_183\"/>
    </mc:Choice>
  </mc:AlternateContent>
  <xr:revisionPtr revIDLastSave="0" documentId="13_ncr:1_{A559069B-945F-4110-AEFA-21F4A0243BB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Sheet1!$A$1:$AO$229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227" i="1" l="1"/>
  <c r="K224" i="1"/>
  <c r="K223" i="1"/>
  <c r="K221" i="1"/>
  <c r="K218" i="1"/>
  <c r="K215" i="1"/>
  <c r="K214" i="1"/>
  <c r="K212" i="1"/>
  <c r="K209" i="1"/>
  <c r="K206" i="1"/>
  <c r="K203" i="1"/>
  <c r="K200" i="1"/>
  <c r="K197" i="1"/>
  <c r="K194" i="1"/>
  <c r="K193" i="1"/>
  <c r="K191" i="1"/>
  <c r="K188" i="1"/>
  <c r="K185" i="1"/>
  <c r="K182" i="1"/>
  <c r="K179" i="1"/>
  <c r="K176" i="1"/>
  <c r="K173" i="1"/>
  <c r="K170" i="1"/>
  <c r="K167" i="1"/>
  <c r="K166" i="1"/>
  <c r="K164" i="1"/>
  <c r="K161" i="1"/>
  <c r="K158" i="1"/>
  <c r="K155" i="1"/>
  <c r="K152" i="1"/>
  <c r="K149" i="1"/>
  <c r="K146" i="1"/>
  <c r="K143" i="1"/>
  <c r="K140" i="1"/>
  <c r="K137" i="1"/>
  <c r="K134" i="1"/>
  <c r="K133" i="1"/>
  <c r="K131" i="1"/>
  <c r="K128" i="1"/>
  <c r="K125" i="1"/>
  <c r="K122" i="1"/>
  <c r="K119" i="1"/>
  <c r="K116" i="1"/>
  <c r="K115" i="1"/>
  <c r="K113" i="1"/>
  <c r="K110" i="1"/>
  <c r="K107" i="1"/>
  <c r="K104" i="1"/>
  <c r="K101" i="1"/>
  <c r="K98" i="1"/>
  <c r="K95" i="1"/>
  <c r="K92" i="1"/>
  <c r="K89" i="1"/>
  <c r="K86" i="1"/>
  <c r="K83" i="1"/>
  <c r="K80" i="1"/>
  <c r="K77" i="1"/>
  <c r="K74" i="1"/>
  <c r="K71" i="1"/>
  <c r="K68" i="1"/>
  <c r="K67" i="1"/>
  <c r="K65" i="1"/>
  <c r="K62" i="1"/>
  <c r="K59" i="1"/>
  <c r="K56" i="1"/>
  <c r="K53" i="1"/>
  <c r="K50" i="1"/>
  <c r="K47" i="1"/>
  <c r="K44" i="1"/>
  <c r="K41" i="1"/>
  <c r="K38" i="1"/>
  <c r="K37" i="1"/>
  <c r="K35" i="1"/>
  <c r="K32" i="1"/>
  <c r="K29" i="1"/>
  <c r="K26" i="1"/>
  <c r="K23" i="1"/>
  <c r="K20" i="1"/>
  <c r="K19" i="1"/>
  <c r="K17" i="1"/>
  <c r="K14" i="1"/>
  <c r="K11" i="1"/>
  <c r="K8" i="1"/>
  <c r="K5" i="1"/>
  <c r="K4" i="1"/>
  <c r="K2" i="1"/>
</calcChain>
</file>

<file path=xl/sharedStrings.xml><?xml version="1.0" encoding="utf-8"?>
<sst xmlns="http://schemas.openxmlformats.org/spreadsheetml/2006/main" count="2528" uniqueCount="385">
  <si>
    <t>PH</t>
  </si>
  <si>
    <t>OS</t>
  </si>
  <si>
    <t>Replicata</t>
  </si>
  <si>
    <t>Talhão</t>
  </si>
  <si>
    <t>Ponto</t>
  </si>
  <si>
    <t>Prof</t>
  </si>
  <si>
    <t>Tipo</t>
  </si>
  <si>
    <t>QR Code</t>
  </si>
  <si>
    <t>SID</t>
  </si>
  <si>
    <t>IDQ</t>
  </si>
  <si>
    <t>Macro</t>
  </si>
  <si>
    <t>Micro</t>
  </si>
  <si>
    <t>MO</t>
  </si>
  <si>
    <t>Textura</t>
  </si>
  <si>
    <t>pH_(u.a.)</t>
  </si>
  <si>
    <t>H+Al_(cmolc/dm3)</t>
  </si>
  <si>
    <t>pH SMP</t>
  </si>
  <si>
    <t>P_(mg/dm3)</t>
  </si>
  <si>
    <t>K_(mg/dm3)</t>
  </si>
  <si>
    <t>K_(cmolc/dm3)</t>
  </si>
  <si>
    <t>Ca_(cmolc/dm3)</t>
  </si>
  <si>
    <t>Mg_(cmolc/dm3)</t>
  </si>
  <si>
    <t>MO_(g/dm3)</t>
  </si>
  <si>
    <t>Areia_(g/kg)</t>
  </si>
  <si>
    <t>Argila_(g/kg)</t>
  </si>
  <si>
    <t>Silte_(g/kg)</t>
  </si>
  <si>
    <t>Al_(cmolc/dm3)</t>
  </si>
  <si>
    <t>B_(mg/dm3)</t>
  </si>
  <si>
    <t>Cu_(mg/dm3)</t>
  </si>
  <si>
    <t>Fe_(mg/dm3)</t>
  </si>
  <si>
    <t>Mn_(mg/dm3)</t>
  </si>
  <si>
    <t>Zn_(mg/dm3)</t>
  </si>
  <si>
    <t>S_(mg/dm3)</t>
  </si>
  <si>
    <t>1</t>
  </si>
  <si>
    <t>OS_183_01_A1_1_005</t>
  </si>
  <si>
    <t>|183|01|A1</t>
  </si>
  <si>
    <t>BAIXA_FRIA</t>
  </si>
  <si>
    <t>00-20</t>
  </si>
  <si>
    <t>Carbono</t>
  </si>
  <si>
    <t>ASP25004301830143A11S250001</t>
  </si>
  <si>
    <t>01</t>
  </si>
  <si>
    <t>X</t>
  </si>
  <si>
    <t>20-40</t>
  </si>
  <si>
    <t>ASP25004301830143A11S250002</t>
  </si>
  <si>
    <t>02</t>
  </si>
  <si>
    <t>40-60</t>
  </si>
  <si>
    <t>ASP25004301830143A11S250003</t>
  </si>
  <si>
    <t>03</t>
  </si>
  <si>
    <t>0</t>
  </si>
  <si>
    <t>2</t>
  </si>
  <si>
    <t>ASP25004301830143A11S250030</t>
  </si>
  <si>
    <t>04</t>
  </si>
  <si>
    <t>ASP25004301830143A11S250031</t>
  </si>
  <si>
    <t>05</t>
  </si>
  <si>
    <t>ASP25004301830143A11S250032</t>
  </si>
  <si>
    <t>06</t>
  </si>
  <si>
    <t>3</t>
  </si>
  <si>
    <t>ASP25004301830143A11S250012</t>
  </si>
  <si>
    <t>07</t>
  </si>
  <si>
    <t>ASP25004301830143A11S250013</t>
  </si>
  <si>
    <t>08</t>
  </si>
  <si>
    <t>ASP25004301830143A11S250014</t>
  </si>
  <si>
    <t>09</t>
  </si>
  <si>
    <t>4</t>
  </si>
  <si>
    <t>ASP25004301830143A11S250018</t>
  </si>
  <si>
    <t>10</t>
  </si>
  <si>
    <t>ASP25004301830143A11S250019</t>
  </si>
  <si>
    <t>11</t>
  </si>
  <si>
    <t>ASP25004301830143A11S250020</t>
  </si>
  <si>
    <t>12</t>
  </si>
  <si>
    <t>5</t>
  </si>
  <si>
    <t>ASP25004301830143A11S250024</t>
  </si>
  <si>
    <t>13</t>
  </si>
  <si>
    <t>ASP25004301830143A11S250025</t>
  </si>
  <si>
    <t>14</t>
  </si>
  <si>
    <t>ASP25004301830143A11S250026</t>
  </si>
  <si>
    <t>15</t>
  </si>
  <si>
    <t>OS_183_01_A2_1_006</t>
  </si>
  <si>
    <t>|183|01|A2</t>
  </si>
  <si>
    <t>ESTRELA_ROXA</t>
  </si>
  <si>
    <t>ASP25004301830143A21S250005</t>
  </si>
  <si>
    <t>ASP25004301830143A21S250006</t>
  </si>
  <si>
    <t>ASP25004301830143A21S250007</t>
  </si>
  <si>
    <t>ASP25004301830143A21S250011</t>
  </si>
  <si>
    <t>ASP25004301830143A21S250012</t>
  </si>
  <si>
    <t>ASP25004301830143A21S250013</t>
  </si>
  <si>
    <t>ASP25004301830143A21S250017</t>
  </si>
  <si>
    <t>ASP25004301830143A21S250018</t>
  </si>
  <si>
    <t>ASP25004301830143A21S250019</t>
  </si>
  <si>
    <t>ASP25004301830143A21S250023</t>
  </si>
  <si>
    <t>ASP25004301830143A21S250024</t>
  </si>
  <si>
    <t>ASP25004301830143A21S250025</t>
  </si>
  <si>
    <t>ASP25004301830143A21S250029</t>
  </si>
  <si>
    <t>ASP25004301830143A21S250030</t>
  </si>
  <si>
    <t>ASP25004301830143A21S250031</t>
  </si>
  <si>
    <t>ASP25004301830143A21S250035</t>
  </si>
  <si>
    <t>16</t>
  </si>
  <si>
    <t>ASP25004301830143A21S250036</t>
  </si>
  <si>
    <t>17</t>
  </si>
  <si>
    <t>ASP25004301830143A21S250037</t>
  </si>
  <si>
    <t>18</t>
  </si>
  <si>
    <t>OS_183_01_A3_1_010</t>
  </si>
  <si>
    <t>|183|01|A3</t>
  </si>
  <si>
    <t>GREVILHA</t>
  </si>
  <si>
    <t>ASP25004301830143A31S250053</t>
  </si>
  <si>
    <t>ASP25004301830143A31S250054</t>
  </si>
  <si>
    <t>ASP25004301830143A31S250055</t>
  </si>
  <si>
    <t>ASP25004301830143A31S250056</t>
  </si>
  <si>
    <t>ASP25004301830143A31S250057</t>
  </si>
  <si>
    <t>ASP25004301830143A31S250058</t>
  </si>
  <si>
    <t>ASP25004301830143A31S250038</t>
  </si>
  <si>
    <t>ASP25004301830143A31S250039</t>
  </si>
  <si>
    <t>ASP25004301830143A31S250040</t>
  </si>
  <si>
    <t>ASP25004301830143A31S250044</t>
  </si>
  <si>
    <t>ASP25004301830143A31S250045</t>
  </si>
  <si>
    <t>ASP25004301830143A31S250046</t>
  </si>
  <si>
    <t>ASP25004301830143A31S250032</t>
  </si>
  <si>
    <t>ASP25004301830143A31S250033</t>
  </si>
  <si>
    <t>ASP25004301830143A31S250034</t>
  </si>
  <si>
    <t>ASP25004301830143A31S250026</t>
  </si>
  <si>
    <t>ASP25004301830143A31S250027</t>
  </si>
  <si>
    <t>ASP25004301830143A31S250028</t>
  </si>
  <si>
    <t>ASP25004301830143A31S250020</t>
  </si>
  <si>
    <t>19</t>
  </si>
  <si>
    <t>ASP25004301830143A31S250021</t>
  </si>
  <si>
    <t>20</t>
  </si>
  <si>
    <t>ASP25004301830143A31S250022</t>
  </si>
  <si>
    <t>21</t>
  </si>
  <si>
    <t>ASP25004301830143A31S250014</t>
  </si>
  <si>
    <t>22</t>
  </si>
  <si>
    <t>ASP25004301830143A31S250015</t>
  </si>
  <si>
    <t>23</t>
  </si>
  <si>
    <t>ASP25004301830143A31S250016</t>
  </si>
  <si>
    <t>24</t>
  </si>
  <si>
    <t>ASP25004301830143A31S250008</t>
  </si>
  <si>
    <t>25</t>
  </si>
  <si>
    <t>ASP25004301830143A31S250009</t>
  </si>
  <si>
    <t>26</t>
  </si>
  <si>
    <t>ASP25004301830143A31S250010</t>
  </si>
  <si>
    <t>27</t>
  </si>
  <si>
    <t>ASP25004301830143A31S250002</t>
  </si>
  <si>
    <t>28</t>
  </si>
  <si>
    <t>ASP25004301830143A31S250003</t>
  </si>
  <si>
    <t>29</t>
  </si>
  <si>
    <t>ASP25004301830143A31S250004</t>
  </si>
  <si>
    <t>30</t>
  </si>
  <si>
    <t>OS_183_01_A4_1_016</t>
  </si>
  <si>
    <t>|183|01|A4</t>
  </si>
  <si>
    <t>MORUMBI</t>
  </si>
  <si>
    <t>ASP25004301830143A41S250061</t>
  </si>
  <si>
    <t>ASP25004301830143A41S250062</t>
  </si>
  <si>
    <t>ASP25004301830143A41S250063</t>
  </si>
  <si>
    <t>ASP25004301830143A41S250025</t>
  </si>
  <si>
    <t>ASP25004301830143A41S250026</t>
  </si>
  <si>
    <t>ASP25004301830143A41S250027</t>
  </si>
  <si>
    <t>ASP25004301830143A41S250007</t>
  </si>
  <si>
    <t>ASP25004301830143A41S250008</t>
  </si>
  <si>
    <t>ASP25004301830143A41S250009</t>
  </si>
  <si>
    <t>ASP25004301830143A41S250013</t>
  </si>
  <si>
    <t>ASP25004301830143A41S250014</t>
  </si>
  <si>
    <t>ASP25004301830143A41S250015</t>
  </si>
  <si>
    <t>ASP25004301830143A41S250001</t>
  </si>
  <si>
    <t>ASP25004301830143A41S250002</t>
  </si>
  <si>
    <t>ASP25004301830143A41S250003</t>
  </si>
  <si>
    <t>ASP25004301830143A41S250019</t>
  </si>
  <si>
    <t>ASP25004301830143A41S250020</t>
  </si>
  <si>
    <t>ASP25004301830143A41S250021</t>
  </si>
  <si>
    <t>ASP25004301830143A41S250031</t>
  </si>
  <si>
    <t>ASP25004301830143A41S250032</t>
  </si>
  <si>
    <t>ASP25004301830143A41S250033</t>
  </si>
  <si>
    <t>ASP25004301830143A41S250037</t>
  </si>
  <si>
    <t>ASP25004301830143A41S250038</t>
  </si>
  <si>
    <t>ASP25004301830143A41S250039</t>
  </si>
  <si>
    <t>ASP25004301830143A41S250049</t>
  </si>
  <si>
    <t>ASP25004301830143A41S250050</t>
  </si>
  <si>
    <t>ASP25004301830143A41S250051</t>
  </si>
  <si>
    <t>31</t>
  </si>
  <si>
    <t>ASP25004301830143A41S250055</t>
  </si>
  <si>
    <t>ASP25004301830143A41S250056</t>
  </si>
  <si>
    <t>ASP25004301830143A41S250057</t>
  </si>
  <si>
    <t>32</t>
  </si>
  <si>
    <t>ASP25004301830143A41S250067</t>
  </si>
  <si>
    <t>ASP25004301830143A41S250068</t>
  </si>
  <si>
    <t>ASP25004301830143A41S250069</t>
  </si>
  <si>
    <t>33</t>
  </si>
  <si>
    <t>ASP25004301830143A41S250044</t>
  </si>
  <si>
    <t>34</t>
  </si>
  <si>
    <t>ASP25004301830143A41S250045</t>
  </si>
  <si>
    <t>35</t>
  </si>
  <si>
    <t>ASP25004301830143A41S250046</t>
  </si>
  <si>
    <t>36</t>
  </si>
  <si>
    <t>ASP25004301830143A41S250073</t>
  </si>
  <si>
    <t>37</t>
  </si>
  <si>
    <t>ASP25004301830143A41S250074</t>
  </si>
  <si>
    <t>38</t>
  </si>
  <si>
    <t>ASP25004301830143A41S250075</t>
  </si>
  <si>
    <t>39</t>
  </si>
  <si>
    <t>ASP25004301830143A41S250085</t>
  </si>
  <si>
    <t>40</t>
  </si>
  <si>
    <t>ASP25004301830143A41S250086</t>
  </si>
  <si>
    <t>41</t>
  </si>
  <si>
    <t>ASP25004301830143A41S250087</t>
  </si>
  <si>
    <t>42</t>
  </si>
  <si>
    <t>ASP25004301830143A41S250079</t>
  </si>
  <si>
    <t>43</t>
  </si>
  <si>
    <t>ASP25004301830143A41S250080</t>
  </si>
  <si>
    <t>44</t>
  </si>
  <si>
    <t>ASP25004301830143A41S250081</t>
  </si>
  <si>
    <t>45</t>
  </si>
  <si>
    <t>ASP25004301830143A41S250091</t>
  </si>
  <si>
    <t>46</t>
  </si>
  <si>
    <t>ASP25004301830143A41S250092</t>
  </si>
  <si>
    <t>47</t>
  </si>
  <si>
    <t>ASP25004301830143A41S250093</t>
  </si>
  <si>
    <t>48</t>
  </si>
  <si>
    <t>OS_183_01_A5_1_006</t>
  </si>
  <si>
    <t>|183|01|A5</t>
  </si>
  <si>
    <t>PEDREIRA</t>
  </si>
  <si>
    <t>ASP25004301830143A51S250001</t>
  </si>
  <si>
    <t>ASP25004301830143A51S250002</t>
  </si>
  <si>
    <t>ASP25004301830143A51S250003</t>
  </si>
  <si>
    <t>ASP25004301830143A51S250007</t>
  </si>
  <si>
    <t>ASP25004301830143A51S250008</t>
  </si>
  <si>
    <t>ASP25004301830143A51S250009</t>
  </si>
  <si>
    <t>ASP25004301830143A51S250013</t>
  </si>
  <si>
    <t>ASP25004301830143A51S250014</t>
  </si>
  <si>
    <t>ASP25004301830143A51S250015</t>
  </si>
  <si>
    <t>ASP25004301830143A51S250019</t>
  </si>
  <si>
    <t>ASP25004301830143A51S250020</t>
  </si>
  <si>
    <t>ASP25004301830143A51S250021</t>
  </si>
  <si>
    <t>ASP25004301830143A51S250031</t>
  </si>
  <si>
    <t>ASP25004301830143A51S250032</t>
  </si>
  <si>
    <t>ASP25004301830143A51S250033</t>
  </si>
  <si>
    <t>ASP25004301830143A51S250025</t>
  </si>
  <si>
    <t>ASP25004301830143A51S250026</t>
  </si>
  <si>
    <t>ASP25004301830143A51S250027</t>
  </si>
  <si>
    <t>OS_183_01_A6_1_011</t>
  </si>
  <si>
    <t>|183|01|A6</t>
  </si>
  <si>
    <t>PONTES_E_REPRESAS</t>
  </si>
  <si>
    <t>ASP25004301830143A61S250022</t>
  </si>
  <si>
    <t>ASP25004301830143A61S250021</t>
  </si>
  <si>
    <t>ASP25004301830143A61S250020</t>
  </si>
  <si>
    <t>ASP25004301830143A61S250016</t>
  </si>
  <si>
    <t>ASP25004301830143A61S250015</t>
  </si>
  <si>
    <t>ASP25004301830143A61S250014</t>
  </si>
  <si>
    <t>ASP25004301830143A61S250010</t>
  </si>
  <si>
    <t>ASP25004301830143A61S250009</t>
  </si>
  <si>
    <t>ASP25004301830143A61S250008</t>
  </si>
  <si>
    <t>ASP25004301830143A61S250004</t>
  </si>
  <si>
    <t>ASP25004301830143A61S250003</t>
  </si>
  <si>
    <t>ASP25004301830143A61S250002</t>
  </si>
  <si>
    <t>ASP25004301830143A61S250051</t>
  </si>
  <si>
    <t>ASP25004301830143A61S250050</t>
  </si>
  <si>
    <t>ASP25004301830143A61S250049</t>
  </si>
  <si>
    <t>49</t>
  </si>
  <si>
    <t>ASP25004301830143A61S250045</t>
  </si>
  <si>
    <t>ASP25004301830143A61S250044</t>
  </si>
  <si>
    <t>ASP25004301830143A61S250061</t>
  </si>
  <si>
    <t>50</t>
  </si>
  <si>
    <t>ASP25004301830143A61S250065</t>
  </si>
  <si>
    <t>ASP25004301830143A61S250066</t>
  </si>
  <si>
    <t>ASP25004301830143A61S250067</t>
  </si>
  <si>
    <t>51</t>
  </si>
  <si>
    <t>ASP25004301830143A61S250058</t>
  </si>
  <si>
    <t>ASP25004301830143A61S250059</t>
  </si>
  <si>
    <t>ASP25004301830143A61S250060</t>
  </si>
  <si>
    <t>52</t>
  </si>
  <si>
    <t>ASP25004301830143A61S250041</t>
  </si>
  <si>
    <t>ASP25004301830143A61S250042</t>
  </si>
  <si>
    <t>ASP25004301830143A61S250043</t>
  </si>
  <si>
    <t>53</t>
  </si>
  <si>
    <t>ASP25004301830143A61S250035</t>
  </si>
  <si>
    <t>ASP25004301830143A61S250036</t>
  </si>
  <si>
    <t>ASP25004301830143A61S250037</t>
  </si>
  <si>
    <t>54</t>
  </si>
  <si>
    <t>ASP25004301830143A61S250029</t>
  </si>
  <si>
    <t>ASP25004301830143A61S250030</t>
  </si>
  <si>
    <t>ASP25004301830143A61S250031</t>
  </si>
  <si>
    <t>OS_183_01_A7_1_009</t>
  </si>
  <si>
    <t>|183|01|A7</t>
  </si>
  <si>
    <t>QUIETOS</t>
  </si>
  <si>
    <t>55</t>
  </si>
  <si>
    <t>ASP25004301830143A71S250005</t>
  </si>
  <si>
    <t>ASP25004301830143A71S250006</t>
  </si>
  <si>
    <t>ASP25004301830143A71S250007</t>
  </si>
  <si>
    <t>56</t>
  </si>
  <si>
    <t>ASP25004301830143A71S250011</t>
  </si>
  <si>
    <t>ASP25004301830143A71S250012</t>
  </si>
  <si>
    <t>ASP25004301830143A71S250013</t>
  </si>
  <si>
    <t>57</t>
  </si>
  <si>
    <t>ASP25004301830143A71S250017</t>
  </si>
  <si>
    <t>ASP25004301830143A71S250018</t>
  </si>
  <si>
    <t>ASP25004301830143A71S250019</t>
  </si>
  <si>
    <t>58</t>
  </si>
  <si>
    <t>ASP25004301830143A71S250023</t>
  </si>
  <si>
    <t>ASP25004301830143A71S250024</t>
  </si>
  <si>
    <t>ASP25004301830143A71S250025</t>
  </si>
  <si>
    <t>59</t>
  </si>
  <si>
    <t>ASP25004301830143A71S250029</t>
  </si>
  <si>
    <t>ASP25004301830143A71S250030</t>
  </si>
  <si>
    <t>ASP25004301830143A71S250031</t>
  </si>
  <si>
    <t>60</t>
  </si>
  <si>
    <t>ASP25004301830143A71S250035</t>
  </si>
  <si>
    <t>ASP25004301830143A71S250036</t>
  </si>
  <si>
    <t>ASP25004301830143A71S250037</t>
  </si>
  <si>
    <t>61</t>
  </si>
  <si>
    <t>ASP25004301830143A71S250041</t>
  </si>
  <si>
    <t>ASP25004301830143A71S250042</t>
  </si>
  <si>
    <t>ASP25004301830143A71S250043</t>
  </si>
  <si>
    <t>62</t>
  </si>
  <si>
    <t>ASP25004301830143A71S250047</t>
  </si>
  <si>
    <t>ASP25004301830143A71S250048</t>
  </si>
  <si>
    <t>ASP25004301830143A71S250049</t>
  </si>
  <si>
    <t>63</t>
  </si>
  <si>
    <t>ASP25004301830143A71S250053</t>
  </si>
  <si>
    <t>ASP25004301830143A71S250054</t>
  </si>
  <si>
    <t>ASP25004301830143A71S250055</t>
  </si>
  <si>
    <t>OS_183_01_A8_1_007</t>
  </si>
  <si>
    <t>|183|01|A8</t>
  </si>
  <si>
    <t>SANTA_ANGELINA_MILHO</t>
  </si>
  <si>
    <t>64</t>
  </si>
  <si>
    <t>ASP25004301830143A81S250002</t>
  </si>
  <si>
    <t>ASP25004301830143A81S250003</t>
  </si>
  <si>
    <t>ASP25004301830143A81S250004</t>
  </si>
  <si>
    <t>65</t>
  </si>
  <si>
    <t>ASP25004301830143A81S250032</t>
  </si>
  <si>
    <t>ASP25004301830143A81S250033</t>
  </si>
  <si>
    <t>ASP25004301830143A81S250034</t>
  </si>
  <si>
    <t>66</t>
  </si>
  <si>
    <t>ASP25004301830143A81S250039</t>
  </si>
  <si>
    <t>ASP25004301830143A81S250040</t>
  </si>
  <si>
    <t>ASP25004301830143A81S250041</t>
  </si>
  <si>
    <t>67</t>
  </si>
  <si>
    <t>ASP25004301830143A81S250008</t>
  </si>
  <si>
    <t>ASP25004301830143A81S250009</t>
  </si>
  <si>
    <t>ASP25004301830143A81S250010</t>
  </si>
  <si>
    <t>68</t>
  </si>
  <si>
    <t>ASP25004301830143A81S250026</t>
  </si>
  <si>
    <t>ASP25004301830143A81S250027</t>
  </si>
  <si>
    <t>ASP25004301830143A81S250028</t>
  </si>
  <si>
    <t>69</t>
  </si>
  <si>
    <t>ASP25004301830143A81S250014</t>
  </si>
  <si>
    <t>ASP25004301830143A81S250015</t>
  </si>
  <si>
    <t>ASP25004301830143A81S250016</t>
  </si>
  <si>
    <t>70</t>
  </si>
  <si>
    <t>ASP25004301830143A81S250020</t>
  </si>
  <si>
    <t>ASP25004301830143A81S250021</t>
  </si>
  <si>
    <t>ASP25004301830143A81S250022</t>
  </si>
  <si>
    <t>OS_183_01_A9_1_003</t>
  </si>
  <si>
    <t>|183|01|A9</t>
  </si>
  <si>
    <t>TH_MATA</t>
  </si>
  <si>
    <t>71</t>
  </si>
  <si>
    <t>ASP25004301830143A91S250004</t>
  </si>
  <si>
    <t>ASP25004301830143A91S250005</t>
  </si>
  <si>
    <t>ASP25004301830143A91S250006</t>
  </si>
  <si>
    <t>72</t>
  </si>
  <si>
    <t>ASP25004301830143A91S250010</t>
  </si>
  <si>
    <t>ASP25004301830143A91S250011</t>
  </si>
  <si>
    <t>ASP25004301830143A91S250012</t>
  </si>
  <si>
    <t>73</t>
  </si>
  <si>
    <t>ASP25004301830143A91S250016</t>
  </si>
  <si>
    <t>ASP25004301830143A91S250017</t>
  </si>
  <si>
    <t>ASP25004301830143A91S250018</t>
  </si>
  <si>
    <t>OS_183_01_B1_1_003</t>
  </si>
  <si>
    <t>|183|01|B1</t>
  </si>
  <si>
    <t>TIFTON</t>
  </si>
  <si>
    <t>74</t>
  </si>
  <si>
    <t>ASP25004301830143B11S250005</t>
  </si>
  <si>
    <t>ASP25004301830143B11S250006</t>
  </si>
  <si>
    <t>ASP25004301830143B11S250007</t>
  </si>
  <si>
    <t>75</t>
  </si>
  <si>
    <t>ASP25004301830143B11S250011</t>
  </si>
  <si>
    <t>ASP25004301830143B11S250012</t>
  </si>
  <si>
    <t>ASP25004301830143B11S250013</t>
  </si>
  <si>
    <t>76</t>
  </si>
  <si>
    <t>ASP25004301830143B11S250017</t>
  </si>
  <si>
    <t>ASP25004301830143B11S250018</t>
  </si>
  <si>
    <t>ASP25004301830143B11S250019</t>
  </si>
  <si>
    <t>K_P_Mehlich</t>
  </si>
  <si>
    <t>pH_CaCl2</t>
  </si>
  <si>
    <t>S_ICP</t>
  </si>
  <si>
    <t>CHN</t>
  </si>
  <si>
    <t>P_Resina</t>
  </si>
  <si>
    <t>pH_H2O</t>
  </si>
  <si>
    <t>S_Turbidimetria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</si>
</sst>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29"/>
  <sheetViews>
    <sheetView tabSelected="1" topLeftCell="F1" zoomScaleNormal="100" workbookViewId="0">
      <selection activeCell="V1" sqref="L1:V1"/>
    </sheetView>
  </sheetViews>
  <sheetFormatPr defaultColWidth="8.7109375" defaultRowHeight="15" x14ac:dyDescent="0.25"/>
  <cols>
    <col min="1" max="1" width="8" bestFit="1" customWidth="1"/>
    <col min="2" max="2" width="20" bestFit="1" customWidth="1"/>
    <col min="3" max="3" width="11.28515625" bestFit="1" customWidth="1"/>
    <col min="4" max="4" width="13.7109375" bestFit="1" customWidth="1"/>
    <col min="5" max="5" width="24.42578125" bestFit="1" customWidth="1"/>
    <col min="6" max="6" width="10.85546875" bestFit="1" customWidth="1"/>
    <col min="7" max="7" width="9.28515625" bestFit="1" customWidth="1"/>
    <col min="8" max="8" width="9.42578125" bestFit="1" customWidth="1"/>
    <col min="9" max="9" width="29.28515625" bestFit="1" customWidth="1"/>
    <col min="10" max="10" width="8.42578125" bestFit="1" customWidth="1"/>
    <col min="11" max="11" width="14.42578125" bestFit="1" customWidth="1"/>
    <col min="12" max="13" width="14.42578125" customWidth="1"/>
    <col min="14" max="14" width="17.140625" style="1" bestFit="1" customWidth="1"/>
    <col min="15" max="15" width="17.140625" style="1" customWidth="1"/>
    <col min="16" max="16" width="13.85546875" style="1" bestFit="1" customWidth="1"/>
    <col min="17" max="17" width="11.140625" bestFit="1" customWidth="1"/>
    <col min="18" max="18" width="10.7109375" bestFit="1" customWidth="1"/>
    <col min="19" max="19" width="10.42578125" bestFit="1" customWidth="1"/>
    <col min="20" max="20" width="8.85546875" bestFit="1" customWidth="1"/>
    <col min="21" max="21" width="12.28515625" bestFit="1" customWidth="1"/>
    <col min="22" max="22" width="19.85546875" bestFit="1" customWidth="1"/>
    <col min="23" max="23" width="13.7109375" bestFit="1" customWidth="1"/>
    <col min="24" max="24" width="22.28515625" bestFit="1" customWidth="1"/>
    <col min="25" max="25" width="12.42578125" bestFit="1" customWidth="1"/>
    <col min="26" max="27" width="16.5703125" bestFit="1" customWidth="1"/>
    <col min="28" max="28" width="19.140625" bestFit="1" customWidth="1"/>
    <col min="29" max="29" width="20.140625" bestFit="1" customWidth="1"/>
    <col min="30" max="30" width="20.85546875" bestFit="1" customWidth="1"/>
    <col min="31" max="31" width="17" bestFit="1" customWidth="1"/>
    <col min="32" max="32" width="16.5703125" bestFit="1" customWidth="1"/>
    <col min="33" max="33" width="17" bestFit="1" customWidth="1"/>
    <col min="34" max="34" width="15.85546875" bestFit="1" customWidth="1"/>
    <col min="35" max="35" width="19.85546875" bestFit="1" customWidth="1"/>
    <col min="36" max="36" width="16.5703125" bestFit="1" customWidth="1"/>
    <col min="37" max="37" width="17.85546875" bestFit="1" customWidth="1"/>
    <col min="38" max="38" width="17.7109375" bestFit="1" customWidth="1"/>
    <col min="39" max="39" width="18.5703125" bestFit="1" customWidth="1"/>
    <col min="40" max="40" width="17.7109375" bestFit="1" customWidth="1"/>
    <col min="41" max="41" width="16.42578125" bestFit="1" customWidth="1"/>
  </cols>
  <sheetData>
    <row r="1" spans="1:41" x14ac:dyDescent="0.25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381</v>
      </c>
      <c r="M1" s="2" t="s">
        <v>382</v>
      </c>
      <c r="N1" s="2" t="s">
        <v>378</v>
      </c>
      <c r="O1" s="2" t="s">
        <v>383</v>
      </c>
      <c r="P1" s="2" t="s">
        <v>379</v>
      </c>
      <c r="Q1" s="2" t="s">
        <v>10</v>
      </c>
      <c r="R1" s="2" t="s">
        <v>11</v>
      </c>
      <c r="S1" s="2" t="s">
        <v>380</v>
      </c>
      <c r="T1" s="2" t="s">
        <v>12</v>
      </c>
      <c r="U1" s="2" t="s">
        <v>13</v>
      </c>
      <c r="V1" s="2" t="s">
        <v>384</v>
      </c>
      <c r="W1" s="2" t="s">
        <v>14</v>
      </c>
      <c r="X1" s="2" t="s">
        <v>15</v>
      </c>
      <c r="Y1" s="2" t="s">
        <v>16</v>
      </c>
      <c r="Z1" s="2" t="s">
        <v>17</v>
      </c>
      <c r="AA1" s="2" t="s">
        <v>18</v>
      </c>
      <c r="AB1" s="2" t="s">
        <v>19</v>
      </c>
      <c r="AC1" s="2" t="s">
        <v>20</v>
      </c>
      <c r="AD1" s="2" t="s">
        <v>21</v>
      </c>
      <c r="AE1" s="2" t="s">
        <v>22</v>
      </c>
      <c r="AF1" s="2" t="s">
        <v>23</v>
      </c>
      <c r="AG1" s="2" t="s">
        <v>24</v>
      </c>
      <c r="AH1" s="2" t="s">
        <v>25</v>
      </c>
      <c r="AI1" s="2" t="s">
        <v>26</v>
      </c>
      <c r="AJ1" s="2" t="s">
        <v>27</v>
      </c>
      <c r="AK1" s="2" t="s">
        <v>28</v>
      </c>
      <c r="AL1" s="2" t="s">
        <v>29</v>
      </c>
      <c r="AM1" s="2" t="s">
        <v>30</v>
      </c>
      <c r="AN1" s="2" t="s">
        <v>31</v>
      </c>
      <c r="AO1" s="2" t="s">
        <v>32</v>
      </c>
    </row>
    <row r="2" spans="1:41" x14ac:dyDescent="0.25">
      <c r="A2" t="s">
        <v>33</v>
      </c>
      <c r="B2" t="s">
        <v>34</v>
      </c>
      <c r="C2" t="s">
        <v>35</v>
      </c>
      <c r="D2" t="s">
        <v>33</v>
      </c>
      <c r="E2" t="s">
        <v>36</v>
      </c>
      <c r="F2" t="s">
        <v>33</v>
      </c>
      <c r="G2" t="s">
        <v>37</v>
      </c>
      <c r="H2" t="s">
        <v>38</v>
      </c>
      <c r="I2" t="s">
        <v>39</v>
      </c>
      <c r="J2" t="s">
        <v>40</v>
      </c>
      <c r="K2" t="str">
        <f>_xlfn.CONCAT("k",J2,C2)</f>
        <v>k01|183|01|A1</v>
      </c>
      <c r="N2" s="1" t="s">
        <v>41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/>
      <c r="V2" s="1"/>
      <c r="W2">
        <v>4.47</v>
      </c>
      <c r="X2">
        <v>5.4935012649379296</v>
      </c>
      <c r="Y2">
        <v>5.75</v>
      </c>
      <c r="Z2">
        <v>1.84</v>
      </c>
      <c r="AA2">
        <v>72.47</v>
      </c>
      <c r="AB2">
        <v>0.17</v>
      </c>
      <c r="AC2">
        <v>3.875</v>
      </c>
      <c r="AD2">
        <v>1.4390000000000001</v>
      </c>
      <c r="AE2">
        <v>27.371570140944701</v>
      </c>
      <c r="AI2">
        <v>0.126</v>
      </c>
      <c r="AJ2">
        <v>0.28000000000000003</v>
      </c>
      <c r="AK2">
        <v>5.08</v>
      </c>
      <c r="AL2">
        <v>15.42</v>
      </c>
      <c r="AM2">
        <v>34.74</v>
      </c>
      <c r="AN2">
        <v>2.04</v>
      </c>
      <c r="AO2">
        <v>29.78</v>
      </c>
    </row>
    <row r="3" spans="1:41" x14ac:dyDescent="0.25">
      <c r="A3" t="s">
        <v>33</v>
      </c>
      <c r="B3" t="s">
        <v>34</v>
      </c>
      <c r="C3" t="s">
        <v>35</v>
      </c>
      <c r="D3" t="s">
        <v>33</v>
      </c>
      <c r="E3" t="s">
        <v>36</v>
      </c>
      <c r="F3" t="s">
        <v>33</v>
      </c>
      <c r="G3" t="s">
        <v>42</v>
      </c>
      <c r="H3" t="s">
        <v>38</v>
      </c>
      <c r="I3" t="s">
        <v>43</v>
      </c>
      <c r="J3" t="s">
        <v>44</v>
      </c>
      <c r="Q3" s="1"/>
      <c r="R3" s="1"/>
      <c r="S3" s="1"/>
    </row>
    <row r="4" spans="1:41" x14ac:dyDescent="0.25">
      <c r="A4" t="s">
        <v>33</v>
      </c>
      <c r="B4" t="s">
        <v>34</v>
      </c>
      <c r="C4" t="s">
        <v>35</v>
      </c>
      <c r="D4" t="s">
        <v>33</v>
      </c>
      <c r="E4" t="s">
        <v>36</v>
      </c>
      <c r="F4" t="s">
        <v>33</v>
      </c>
      <c r="G4" t="s">
        <v>45</v>
      </c>
      <c r="H4" t="s">
        <v>38</v>
      </c>
      <c r="I4" t="s">
        <v>46</v>
      </c>
      <c r="J4" t="s">
        <v>47</v>
      </c>
      <c r="K4" t="str">
        <f>_xlfn.CONCAT("k",J4,C4)</f>
        <v>k03|183|01|A1</v>
      </c>
      <c r="N4" s="1" t="s">
        <v>41</v>
      </c>
      <c r="P4" s="1" t="s">
        <v>41</v>
      </c>
      <c r="Q4" s="1" t="s">
        <v>41</v>
      </c>
      <c r="R4" s="1" t="s">
        <v>41</v>
      </c>
      <c r="S4" s="1" t="s">
        <v>41</v>
      </c>
      <c r="W4">
        <v>5.33</v>
      </c>
      <c r="X4">
        <v>2.5998111438789602</v>
      </c>
      <c r="Y4">
        <v>6.46</v>
      </c>
      <c r="Z4">
        <v>0.74</v>
      </c>
      <c r="AA4">
        <v>37.409999999999997</v>
      </c>
      <c r="AB4">
        <v>7.2999999999999995E-2</v>
      </c>
      <c r="AC4">
        <v>3.8479999999999999</v>
      </c>
      <c r="AD4">
        <v>1.097</v>
      </c>
      <c r="AI4">
        <v>3.0000000000000001E-3</v>
      </c>
      <c r="AJ4">
        <v>0.19</v>
      </c>
      <c r="AK4">
        <v>6.02</v>
      </c>
      <c r="AL4">
        <v>9.91</v>
      </c>
      <c r="AM4">
        <v>6.19</v>
      </c>
      <c r="AN4">
        <v>0.35</v>
      </c>
      <c r="AO4">
        <v>39.549999999999997</v>
      </c>
    </row>
    <row r="5" spans="1:41" x14ac:dyDescent="0.25">
      <c r="A5" t="s">
        <v>33</v>
      </c>
      <c r="B5" t="s">
        <v>34</v>
      </c>
      <c r="C5" t="s">
        <v>35</v>
      </c>
      <c r="D5" t="s">
        <v>48</v>
      </c>
      <c r="E5" t="s">
        <v>36</v>
      </c>
      <c r="F5" t="s">
        <v>49</v>
      </c>
      <c r="G5" t="s">
        <v>37</v>
      </c>
      <c r="H5" t="s">
        <v>38</v>
      </c>
      <c r="I5" t="s">
        <v>50</v>
      </c>
      <c r="J5" t="s">
        <v>51</v>
      </c>
      <c r="K5" t="str">
        <f>_xlfn.CONCAT("k",J5,C5)</f>
        <v>k04|183|01|A1</v>
      </c>
      <c r="N5" s="1" t="s">
        <v>41</v>
      </c>
      <c r="Q5" s="1"/>
      <c r="R5" s="1"/>
      <c r="S5" s="1"/>
      <c r="U5" t="s">
        <v>41</v>
      </c>
      <c r="Z5">
        <v>13.74</v>
      </c>
      <c r="AA5">
        <v>257.86</v>
      </c>
      <c r="AF5" s="3">
        <v>339</v>
      </c>
      <c r="AG5" s="3">
        <v>443.99999999999602</v>
      </c>
      <c r="AH5" s="3">
        <v>217.000000000005</v>
      </c>
    </row>
    <row r="6" spans="1:41" x14ac:dyDescent="0.25">
      <c r="A6" t="s">
        <v>33</v>
      </c>
      <c r="B6" t="s">
        <v>34</v>
      </c>
      <c r="C6" t="s">
        <v>35</v>
      </c>
      <c r="D6" t="s">
        <v>48</v>
      </c>
      <c r="E6" t="s">
        <v>36</v>
      </c>
      <c r="F6" t="s">
        <v>49</v>
      </c>
      <c r="G6" t="s">
        <v>42</v>
      </c>
      <c r="H6" t="s">
        <v>38</v>
      </c>
      <c r="I6" t="s">
        <v>52</v>
      </c>
      <c r="J6" t="s">
        <v>53</v>
      </c>
      <c r="Q6" s="1"/>
      <c r="R6" s="1"/>
      <c r="S6" s="1"/>
    </row>
    <row r="7" spans="1:41" x14ac:dyDescent="0.25">
      <c r="A7" t="s">
        <v>33</v>
      </c>
      <c r="B7" t="s">
        <v>34</v>
      </c>
      <c r="C7" t="s">
        <v>35</v>
      </c>
      <c r="D7" t="s">
        <v>48</v>
      </c>
      <c r="E7" t="s">
        <v>36</v>
      </c>
      <c r="F7" t="s">
        <v>49</v>
      </c>
      <c r="G7" t="s">
        <v>45</v>
      </c>
      <c r="H7" t="s">
        <v>38</v>
      </c>
      <c r="I7" t="s">
        <v>54</v>
      </c>
      <c r="J7" t="s">
        <v>55</v>
      </c>
      <c r="Q7" s="1"/>
      <c r="R7" s="1"/>
      <c r="S7" s="1"/>
    </row>
    <row r="8" spans="1:41" x14ac:dyDescent="0.25">
      <c r="A8" t="s">
        <v>33</v>
      </c>
      <c r="B8" t="s">
        <v>34</v>
      </c>
      <c r="C8" t="s">
        <v>35</v>
      </c>
      <c r="D8" t="s">
        <v>48</v>
      </c>
      <c r="E8" t="s">
        <v>36</v>
      </c>
      <c r="F8" t="s">
        <v>56</v>
      </c>
      <c r="G8" t="s">
        <v>37</v>
      </c>
      <c r="H8" t="s">
        <v>38</v>
      </c>
      <c r="I8" t="s">
        <v>57</v>
      </c>
      <c r="J8" t="s">
        <v>58</v>
      </c>
      <c r="K8" t="str">
        <f>_xlfn.CONCAT("k",J8,C8)</f>
        <v>k07|183|01|A1</v>
      </c>
      <c r="N8" s="1" t="s">
        <v>41</v>
      </c>
      <c r="Q8" s="1"/>
      <c r="R8" s="1"/>
      <c r="S8" s="1"/>
      <c r="Z8">
        <v>4.3600000000000003</v>
      </c>
      <c r="AA8">
        <v>312.43</v>
      </c>
    </row>
    <row r="9" spans="1:41" x14ac:dyDescent="0.25">
      <c r="A9" t="s">
        <v>33</v>
      </c>
      <c r="B9" t="s">
        <v>34</v>
      </c>
      <c r="C9" t="s">
        <v>35</v>
      </c>
      <c r="D9" t="s">
        <v>48</v>
      </c>
      <c r="E9" t="s">
        <v>36</v>
      </c>
      <c r="F9" t="s">
        <v>56</v>
      </c>
      <c r="G9" t="s">
        <v>42</v>
      </c>
      <c r="H9" t="s">
        <v>38</v>
      </c>
      <c r="I9" t="s">
        <v>59</v>
      </c>
      <c r="J9" t="s">
        <v>60</v>
      </c>
      <c r="Q9" s="1"/>
      <c r="R9" s="1"/>
      <c r="S9" s="1"/>
    </row>
    <row r="10" spans="1:41" x14ac:dyDescent="0.25">
      <c r="A10" t="s">
        <v>33</v>
      </c>
      <c r="B10" t="s">
        <v>34</v>
      </c>
      <c r="C10" t="s">
        <v>35</v>
      </c>
      <c r="D10" t="s">
        <v>48</v>
      </c>
      <c r="E10" t="s">
        <v>36</v>
      </c>
      <c r="F10" t="s">
        <v>56</v>
      </c>
      <c r="G10" t="s">
        <v>45</v>
      </c>
      <c r="H10" t="s">
        <v>38</v>
      </c>
      <c r="I10" t="s">
        <v>61</v>
      </c>
      <c r="J10" t="s">
        <v>62</v>
      </c>
      <c r="Q10" s="1"/>
      <c r="R10" s="1"/>
      <c r="S10" s="1"/>
    </row>
    <row r="11" spans="1:41" x14ac:dyDescent="0.25">
      <c r="A11" t="s">
        <v>33</v>
      </c>
      <c r="B11" t="s">
        <v>34</v>
      </c>
      <c r="C11" t="s">
        <v>35</v>
      </c>
      <c r="D11" t="s">
        <v>48</v>
      </c>
      <c r="E11" t="s">
        <v>36</v>
      </c>
      <c r="F11" t="s">
        <v>63</v>
      </c>
      <c r="G11" t="s">
        <v>37</v>
      </c>
      <c r="H11" t="s">
        <v>38</v>
      </c>
      <c r="I11" t="s">
        <v>64</v>
      </c>
      <c r="J11" t="s">
        <v>65</v>
      </c>
      <c r="K11" t="str">
        <f>_xlfn.CONCAT("k",J11,C11)</f>
        <v>k10|183|01|A1</v>
      </c>
      <c r="N11" s="1" t="s">
        <v>41</v>
      </c>
      <c r="Q11" s="1"/>
      <c r="R11" s="1"/>
      <c r="S11" s="1"/>
      <c r="Z11">
        <v>12.46</v>
      </c>
      <c r="AA11">
        <v>261.54000000000002</v>
      </c>
    </row>
    <row r="12" spans="1:41" x14ac:dyDescent="0.25">
      <c r="A12" t="s">
        <v>33</v>
      </c>
      <c r="B12" t="s">
        <v>34</v>
      </c>
      <c r="C12" t="s">
        <v>35</v>
      </c>
      <c r="D12" t="s">
        <v>48</v>
      </c>
      <c r="E12" t="s">
        <v>36</v>
      </c>
      <c r="F12" t="s">
        <v>63</v>
      </c>
      <c r="G12" t="s">
        <v>42</v>
      </c>
      <c r="H12" t="s">
        <v>38</v>
      </c>
      <c r="I12" t="s">
        <v>66</v>
      </c>
      <c r="J12" t="s">
        <v>67</v>
      </c>
      <c r="Q12" s="1"/>
      <c r="R12" s="1"/>
      <c r="S12" s="1"/>
    </row>
    <row r="13" spans="1:41" x14ac:dyDescent="0.25">
      <c r="A13" t="s">
        <v>33</v>
      </c>
      <c r="B13" t="s">
        <v>34</v>
      </c>
      <c r="C13" t="s">
        <v>35</v>
      </c>
      <c r="D13" t="s">
        <v>48</v>
      </c>
      <c r="E13" t="s">
        <v>36</v>
      </c>
      <c r="F13" t="s">
        <v>63</v>
      </c>
      <c r="G13" t="s">
        <v>45</v>
      </c>
      <c r="H13" t="s">
        <v>38</v>
      </c>
      <c r="I13" t="s">
        <v>68</v>
      </c>
      <c r="J13" t="s">
        <v>69</v>
      </c>
      <c r="Q13" s="1"/>
      <c r="R13" s="1"/>
      <c r="S13" s="1"/>
    </row>
    <row r="14" spans="1:41" x14ac:dyDescent="0.25">
      <c r="A14" t="s">
        <v>33</v>
      </c>
      <c r="B14" t="s">
        <v>34</v>
      </c>
      <c r="C14" t="s">
        <v>35</v>
      </c>
      <c r="D14" t="s">
        <v>48</v>
      </c>
      <c r="E14" t="s">
        <v>36</v>
      </c>
      <c r="F14" t="s">
        <v>70</v>
      </c>
      <c r="G14" t="s">
        <v>37</v>
      </c>
      <c r="H14" t="s">
        <v>38</v>
      </c>
      <c r="I14" t="s">
        <v>71</v>
      </c>
      <c r="J14" t="s">
        <v>72</v>
      </c>
      <c r="K14" t="str">
        <f>_xlfn.CONCAT("k",J14,C14)</f>
        <v>k13|183|01|A1</v>
      </c>
      <c r="N14" s="1" t="s">
        <v>41</v>
      </c>
      <c r="Q14" s="1"/>
      <c r="R14" s="1"/>
      <c r="S14" s="1"/>
      <c r="Z14">
        <v>3.66</v>
      </c>
      <c r="AA14">
        <v>320.45999999999998</v>
      </c>
    </row>
    <row r="15" spans="1:41" x14ac:dyDescent="0.25">
      <c r="A15" t="s">
        <v>33</v>
      </c>
      <c r="B15" t="s">
        <v>34</v>
      </c>
      <c r="C15" t="s">
        <v>35</v>
      </c>
      <c r="D15" t="s">
        <v>48</v>
      </c>
      <c r="E15" t="s">
        <v>36</v>
      </c>
      <c r="F15" t="s">
        <v>70</v>
      </c>
      <c r="G15" t="s">
        <v>42</v>
      </c>
      <c r="H15" t="s">
        <v>38</v>
      </c>
      <c r="I15" t="s">
        <v>73</v>
      </c>
      <c r="J15" t="s">
        <v>74</v>
      </c>
      <c r="Q15" s="1"/>
      <c r="R15" s="1"/>
      <c r="S15" s="1"/>
    </row>
    <row r="16" spans="1:41" x14ac:dyDescent="0.25">
      <c r="A16" t="s">
        <v>33</v>
      </c>
      <c r="B16" t="s">
        <v>34</v>
      </c>
      <c r="C16" t="s">
        <v>35</v>
      </c>
      <c r="D16" t="s">
        <v>48</v>
      </c>
      <c r="E16" t="s">
        <v>36</v>
      </c>
      <c r="F16" t="s">
        <v>70</v>
      </c>
      <c r="G16" t="s">
        <v>45</v>
      </c>
      <c r="H16" t="s">
        <v>38</v>
      </c>
      <c r="I16" t="s">
        <v>75</v>
      </c>
      <c r="J16" t="s">
        <v>76</v>
      </c>
      <c r="Q16" s="1"/>
      <c r="R16" s="1"/>
      <c r="S16" s="1"/>
    </row>
    <row r="17" spans="1:41" x14ac:dyDescent="0.25">
      <c r="A17" t="s">
        <v>33</v>
      </c>
      <c r="B17" t="s">
        <v>77</v>
      </c>
      <c r="C17" t="s">
        <v>78</v>
      </c>
      <c r="D17" t="s">
        <v>48</v>
      </c>
      <c r="E17" t="s">
        <v>79</v>
      </c>
      <c r="F17" t="s">
        <v>55</v>
      </c>
      <c r="G17" t="s">
        <v>37</v>
      </c>
      <c r="H17" t="s">
        <v>38</v>
      </c>
      <c r="I17" t="s">
        <v>80</v>
      </c>
      <c r="J17" t="s">
        <v>40</v>
      </c>
      <c r="K17" t="str">
        <f>_xlfn.CONCAT("k",J17,C17)</f>
        <v>k01|183|01|A2</v>
      </c>
      <c r="N17" s="1" t="s">
        <v>41</v>
      </c>
      <c r="P17" s="1" t="s">
        <v>41</v>
      </c>
      <c r="Q17" s="1" t="s">
        <v>41</v>
      </c>
      <c r="R17" s="1" t="s">
        <v>41</v>
      </c>
      <c r="S17" s="1" t="s">
        <v>41</v>
      </c>
      <c r="T17" s="1" t="s">
        <v>41</v>
      </c>
      <c r="U17" s="1" t="s">
        <v>41</v>
      </c>
      <c r="V17" s="1"/>
      <c r="W17">
        <v>4.76</v>
      </c>
      <c r="X17">
        <v>4.3568608321673699</v>
      </c>
      <c r="Y17">
        <v>5.97</v>
      </c>
      <c r="Z17">
        <v>3.14</v>
      </c>
      <c r="AA17">
        <v>266.60000000000002</v>
      </c>
      <c r="AB17">
        <v>0.72</v>
      </c>
      <c r="AC17">
        <v>3.0569999999999999</v>
      </c>
      <c r="AD17">
        <v>1.079</v>
      </c>
      <c r="AE17">
        <v>24.889424340591699</v>
      </c>
      <c r="AF17" s="3">
        <v>258</v>
      </c>
      <c r="AG17" s="3">
        <v>532.00000000000398</v>
      </c>
      <c r="AH17" s="3">
        <v>209.99999999999599</v>
      </c>
      <c r="AI17">
        <v>2.7E-2</v>
      </c>
      <c r="AJ17">
        <v>0.37</v>
      </c>
      <c r="AK17">
        <v>5.93</v>
      </c>
      <c r="AL17">
        <v>12.86</v>
      </c>
      <c r="AM17">
        <v>16.88</v>
      </c>
      <c r="AN17">
        <v>1.49</v>
      </c>
      <c r="AO17">
        <v>12.52</v>
      </c>
    </row>
    <row r="18" spans="1:41" x14ac:dyDescent="0.25">
      <c r="A18" t="s">
        <v>33</v>
      </c>
      <c r="B18" t="s">
        <v>77</v>
      </c>
      <c r="C18" t="s">
        <v>78</v>
      </c>
      <c r="D18" t="s">
        <v>48</v>
      </c>
      <c r="E18" t="s">
        <v>79</v>
      </c>
      <c r="F18" t="s">
        <v>55</v>
      </c>
      <c r="G18" t="s">
        <v>42</v>
      </c>
      <c r="H18" t="s">
        <v>38</v>
      </c>
      <c r="I18" t="s">
        <v>81</v>
      </c>
      <c r="J18" t="s">
        <v>44</v>
      </c>
      <c r="Q18" s="1"/>
      <c r="R18" s="1"/>
      <c r="S18" s="1"/>
    </row>
    <row r="19" spans="1:41" x14ac:dyDescent="0.25">
      <c r="A19" t="s">
        <v>33</v>
      </c>
      <c r="B19" t="s">
        <v>77</v>
      </c>
      <c r="C19" t="s">
        <v>78</v>
      </c>
      <c r="D19" t="s">
        <v>48</v>
      </c>
      <c r="E19" t="s">
        <v>79</v>
      </c>
      <c r="F19" t="s">
        <v>55</v>
      </c>
      <c r="G19" t="s">
        <v>45</v>
      </c>
      <c r="H19" t="s">
        <v>38</v>
      </c>
      <c r="I19" t="s">
        <v>82</v>
      </c>
      <c r="J19" t="s">
        <v>47</v>
      </c>
      <c r="K19" t="str">
        <f>_xlfn.CONCAT("k",J19,C19)</f>
        <v>k03|183|01|A2</v>
      </c>
      <c r="N19" s="1" t="s">
        <v>41</v>
      </c>
      <c r="P19" s="1" t="s">
        <v>41</v>
      </c>
      <c r="Q19" s="1" t="s">
        <v>41</v>
      </c>
      <c r="R19" s="1" t="s">
        <v>41</v>
      </c>
      <c r="S19" s="1" t="s">
        <v>41</v>
      </c>
      <c r="W19">
        <v>4.7300000000000004</v>
      </c>
      <c r="X19">
        <v>4.0046484761494003</v>
      </c>
      <c r="Y19">
        <v>6.05</v>
      </c>
      <c r="Z19">
        <v>0.92</v>
      </c>
      <c r="AA19">
        <v>95.97</v>
      </c>
      <c r="AB19">
        <v>0.247</v>
      </c>
      <c r="AC19">
        <v>1.867</v>
      </c>
      <c r="AD19">
        <v>0.92500000000000004</v>
      </c>
      <c r="AI19">
        <v>5.1999999999999998E-2</v>
      </c>
      <c r="AJ19">
        <v>0.17</v>
      </c>
      <c r="AK19">
        <v>6.28</v>
      </c>
      <c r="AL19">
        <v>13.85</v>
      </c>
      <c r="AM19">
        <v>9.39</v>
      </c>
      <c r="AN19">
        <v>0.31</v>
      </c>
      <c r="AO19">
        <v>138.22999999999999</v>
      </c>
    </row>
    <row r="20" spans="1:41" x14ac:dyDescent="0.25">
      <c r="A20" t="s">
        <v>33</v>
      </c>
      <c r="B20" t="s">
        <v>77</v>
      </c>
      <c r="C20" t="s">
        <v>78</v>
      </c>
      <c r="D20" t="s">
        <v>48</v>
      </c>
      <c r="E20" t="s">
        <v>79</v>
      </c>
      <c r="F20" t="s">
        <v>58</v>
      </c>
      <c r="G20" t="s">
        <v>37</v>
      </c>
      <c r="H20" t="s">
        <v>38</v>
      </c>
      <c r="I20" t="s">
        <v>83</v>
      </c>
      <c r="J20" t="s">
        <v>51</v>
      </c>
      <c r="K20" t="str">
        <f>_xlfn.CONCAT("k",J20,C20)</f>
        <v>k04|183|01|A2</v>
      </c>
      <c r="N20" s="1" t="s">
        <v>41</v>
      </c>
      <c r="Q20" s="1"/>
      <c r="R20" s="1"/>
      <c r="S20" s="1"/>
      <c r="U20" t="s">
        <v>41</v>
      </c>
      <c r="Z20">
        <v>2.73</v>
      </c>
      <c r="AA20">
        <v>253.29</v>
      </c>
      <c r="AF20" s="3">
        <v>287</v>
      </c>
      <c r="AG20" s="3">
        <v>498.99999999999199</v>
      </c>
      <c r="AH20" s="3">
        <v>214.00000000000799</v>
      </c>
    </row>
    <row r="21" spans="1:41" x14ac:dyDescent="0.25">
      <c r="A21" t="s">
        <v>33</v>
      </c>
      <c r="B21" t="s">
        <v>77</v>
      </c>
      <c r="C21" t="s">
        <v>78</v>
      </c>
      <c r="D21" t="s">
        <v>48</v>
      </c>
      <c r="E21" t="s">
        <v>79</v>
      </c>
      <c r="F21" t="s">
        <v>58</v>
      </c>
      <c r="G21" t="s">
        <v>42</v>
      </c>
      <c r="H21" t="s">
        <v>38</v>
      </c>
      <c r="I21" t="s">
        <v>84</v>
      </c>
      <c r="J21" t="s">
        <v>53</v>
      </c>
      <c r="Q21" s="1"/>
      <c r="R21" s="1"/>
      <c r="S21" s="1"/>
    </row>
    <row r="22" spans="1:41" x14ac:dyDescent="0.25">
      <c r="A22" t="s">
        <v>33</v>
      </c>
      <c r="B22" t="s">
        <v>77</v>
      </c>
      <c r="C22" t="s">
        <v>78</v>
      </c>
      <c r="D22" t="s">
        <v>48</v>
      </c>
      <c r="E22" t="s">
        <v>79</v>
      </c>
      <c r="F22" t="s">
        <v>58</v>
      </c>
      <c r="G22" t="s">
        <v>45</v>
      </c>
      <c r="H22" t="s">
        <v>38</v>
      </c>
      <c r="I22" t="s">
        <v>85</v>
      </c>
      <c r="J22" t="s">
        <v>55</v>
      </c>
      <c r="Q22" s="1"/>
      <c r="R22" s="1"/>
      <c r="S22" s="1"/>
    </row>
    <row r="23" spans="1:41" x14ac:dyDescent="0.25">
      <c r="A23" t="s">
        <v>33</v>
      </c>
      <c r="B23" t="s">
        <v>77</v>
      </c>
      <c r="C23" t="s">
        <v>78</v>
      </c>
      <c r="D23" t="s">
        <v>48</v>
      </c>
      <c r="E23" t="s">
        <v>79</v>
      </c>
      <c r="F23" t="s">
        <v>60</v>
      </c>
      <c r="G23" t="s">
        <v>37</v>
      </c>
      <c r="H23" t="s">
        <v>38</v>
      </c>
      <c r="I23" t="s">
        <v>86</v>
      </c>
      <c r="J23" t="s">
        <v>58</v>
      </c>
      <c r="K23" t="str">
        <f>_xlfn.CONCAT("k",J23,C23)</f>
        <v>k07|183|01|A2</v>
      </c>
      <c r="N23" s="1" t="s">
        <v>41</v>
      </c>
      <c r="Q23" s="1"/>
      <c r="R23" s="1"/>
      <c r="S23" s="1"/>
      <c r="Z23">
        <v>1.89</v>
      </c>
      <c r="AA23">
        <v>65.77</v>
      </c>
    </row>
    <row r="24" spans="1:41" x14ac:dyDescent="0.25">
      <c r="A24" t="s">
        <v>33</v>
      </c>
      <c r="B24" t="s">
        <v>77</v>
      </c>
      <c r="C24" t="s">
        <v>78</v>
      </c>
      <c r="D24" t="s">
        <v>48</v>
      </c>
      <c r="E24" t="s">
        <v>79</v>
      </c>
      <c r="F24" t="s">
        <v>60</v>
      </c>
      <c r="G24" t="s">
        <v>42</v>
      </c>
      <c r="H24" t="s">
        <v>38</v>
      </c>
      <c r="I24" t="s">
        <v>87</v>
      </c>
      <c r="J24" t="s">
        <v>60</v>
      </c>
      <c r="Q24" s="1"/>
      <c r="R24" s="1"/>
      <c r="S24" s="1"/>
    </row>
    <row r="25" spans="1:41" x14ac:dyDescent="0.25">
      <c r="A25" t="s">
        <v>33</v>
      </c>
      <c r="B25" t="s">
        <v>77</v>
      </c>
      <c r="C25" t="s">
        <v>78</v>
      </c>
      <c r="D25" t="s">
        <v>48</v>
      </c>
      <c r="E25" t="s">
        <v>79</v>
      </c>
      <c r="F25" t="s">
        <v>60</v>
      </c>
      <c r="G25" t="s">
        <v>45</v>
      </c>
      <c r="H25" t="s">
        <v>38</v>
      </c>
      <c r="I25" t="s">
        <v>88</v>
      </c>
      <c r="J25" t="s">
        <v>62</v>
      </c>
      <c r="Q25" s="1"/>
      <c r="R25" s="1"/>
      <c r="S25" s="1"/>
    </row>
    <row r="26" spans="1:41" x14ac:dyDescent="0.25">
      <c r="A26" t="s">
        <v>33</v>
      </c>
      <c r="B26" t="s">
        <v>77</v>
      </c>
      <c r="C26" t="s">
        <v>78</v>
      </c>
      <c r="D26" t="s">
        <v>48</v>
      </c>
      <c r="E26" t="s">
        <v>79</v>
      </c>
      <c r="F26" t="s">
        <v>62</v>
      </c>
      <c r="G26" t="s">
        <v>37</v>
      </c>
      <c r="H26" t="s">
        <v>38</v>
      </c>
      <c r="I26" t="s">
        <v>89</v>
      </c>
      <c r="J26" t="s">
        <v>65</v>
      </c>
      <c r="K26" t="str">
        <f>_xlfn.CONCAT("k",J26,C26)</f>
        <v>k10|183|01|A2</v>
      </c>
      <c r="N26" s="1" t="s">
        <v>41</v>
      </c>
      <c r="Q26" s="1"/>
      <c r="R26" s="1"/>
      <c r="S26" s="1"/>
      <c r="Z26">
        <v>1.87</v>
      </c>
      <c r="AA26">
        <v>74.489999999999995</v>
      </c>
    </row>
    <row r="27" spans="1:41" x14ac:dyDescent="0.25">
      <c r="A27" t="s">
        <v>33</v>
      </c>
      <c r="B27" t="s">
        <v>77</v>
      </c>
      <c r="C27" t="s">
        <v>78</v>
      </c>
      <c r="D27" t="s">
        <v>48</v>
      </c>
      <c r="E27" t="s">
        <v>79</v>
      </c>
      <c r="F27" t="s">
        <v>62</v>
      </c>
      <c r="G27" t="s">
        <v>42</v>
      </c>
      <c r="H27" t="s">
        <v>38</v>
      </c>
      <c r="I27" t="s">
        <v>90</v>
      </c>
      <c r="J27" t="s">
        <v>67</v>
      </c>
      <c r="Q27" s="1"/>
      <c r="R27" s="1"/>
      <c r="S27" s="1"/>
    </row>
    <row r="28" spans="1:41" x14ac:dyDescent="0.25">
      <c r="A28" t="s">
        <v>33</v>
      </c>
      <c r="B28" t="s">
        <v>77</v>
      </c>
      <c r="C28" t="s">
        <v>78</v>
      </c>
      <c r="D28" t="s">
        <v>48</v>
      </c>
      <c r="E28" t="s">
        <v>79</v>
      </c>
      <c r="F28" t="s">
        <v>62</v>
      </c>
      <c r="G28" t="s">
        <v>45</v>
      </c>
      <c r="H28" t="s">
        <v>38</v>
      </c>
      <c r="I28" t="s">
        <v>91</v>
      </c>
      <c r="J28" t="s">
        <v>69</v>
      </c>
      <c r="Q28" s="1"/>
      <c r="R28" s="1"/>
      <c r="S28" s="1"/>
    </row>
    <row r="29" spans="1:41" x14ac:dyDescent="0.25">
      <c r="A29" t="s">
        <v>33</v>
      </c>
      <c r="B29" t="s">
        <v>77</v>
      </c>
      <c r="C29" t="s">
        <v>78</v>
      </c>
      <c r="D29" t="s">
        <v>33</v>
      </c>
      <c r="E29" t="s">
        <v>79</v>
      </c>
      <c r="F29" t="s">
        <v>65</v>
      </c>
      <c r="G29" t="s">
        <v>37</v>
      </c>
      <c r="H29" t="s">
        <v>38</v>
      </c>
      <c r="I29" t="s">
        <v>92</v>
      </c>
      <c r="J29" t="s">
        <v>72</v>
      </c>
      <c r="K29" t="str">
        <f>_xlfn.CONCAT("k",J29,C29)</f>
        <v>k13|183|01|A2</v>
      </c>
      <c r="N29" s="1" t="s">
        <v>41</v>
      </c>
      <c r="Q29" s="1"/>
      <c r="R29" s="1"/>
      <c r="S29" s="1"/>
      <c r="Z29">
        <v>11.3</v>
      </c>
      <c r="AA29">
        <v>66.39</v>
      </c>
    </row>
    <row r="30" spans="1:41" x14ac:dyDescent="0.25">
      <c r="A30" t="s">
        <v>33</v>
      </c>
      <c r="B30" t="s">
        <v>77</v>
      </c>
      <c r="C30" t="s">
        <v>78</v>
      </c>
      <c r="D30" t="s">
        <v>33</v>
      </c>
      <c r="E30" t="s">
        <v>79</v>
      </c>
      <c r="F30" t="s">
        <v>65</v>
      </c>
      <c r="G30" t="s">
        <v>42</v>
      </c>
      <c r="H30" t="s">
        <v>38</v>
      </c>
      <c r="I30" t="s">
        <v>93</v>
      </c>
      <c r="J30" t="s">
        <v>74</v>
      </c>
      <c r="Q30" s="1"/>
      <c r="R30" s="1"/>
      <c r="S30" s="1"/>
    </row>
    <row r="31" spans="1:41" x14ac:dyDescent="0.25">
      <c r="A31" t="s">
        <v>33</v>
      </c>
      <c r="B31" t="s">
        <v>77</v>
      </c>
      <c r="C31" t="s">
        <v>78</v>
      </c>
      <c r="D31" t="s">
        <v>33</v>
      </c>
      <c r="E31" t="s">
        <v>79</v>
      </c>
      <c r="F31" t="s">
        <v>65</v>
      </c>
      <c r="G31" t="s">
        <v>45</v>
      </c>
      <c r="H31" t="s">
        <v>38</v>
      </c>
      <c r="I31" t="s">
        <v>94</v>
      </c>
      <c r="J31" t="s">
        <v>76</v>
      </c>
      <c r="Q31" s="1"/>
      <c r="R31" s="1"/>
      <c r="S31" s="1"/>
    </row>
    <row r="32" spans="1:41" x14ac:dyDescent="0.25">
      <c r="A32" t="s">
        <v>33</v>
      </c>
      <c r="B32" t="s">
        <v>77</v>
      </c>
      <c r="C32" t="s">
        <v>78</v>
      </c>
      <c r="D32" t="s">
        <v>48</v>
      </c>
      <c r="E32" t="s">
        <v>79</v>
      </c>
      <c r="F32" t="s">
        <v>67</v>
      </c>
      <c r="G32" t="s">
        <v>37</v>
      </c>
      <c r="H32" t="s">
        <v>38</v>
      </c>
      <c r="I32" t="s">
        <v>95</v>
      </c>
      <c r="J32" t="s">
        <v>96</v>
      </c>
      <c r="K32" t="str">
        <f>_xlfn.CONCAT("k",J32,C32)</f>
        <v>k16|183|01|A2</v>
      </c>
      <c r="N32" s="1" t="s">
        <v>41</v>
      </c>
      <c r="Q32" s="1"/>
      <c r="R32" s="1"/>
      <c r="S32" s="1"/>
      <c r="Z32">
        <v>3.23</v>
      </c>
      <c r="AA32">
        <v>52.42</v>
      </c>
    </row>
    <row r="33" spans="1:41" x14ac:dyDescent="0.25">
      <c r="A33" t="s">
        <v>33</v>
      </c>
      <c r="B33" t="s">
        <v>77</v>
      </c>
      <c r="C33" t="s">
        <v>78</v>
      </c>
      <c r="D33" t="s">
        <v>48</v>
      </c>
      <c r="E33" t="s">
        <v>79</v>
      </c>
      <c r="F33" t="s">
        <v>67</v>
      </c>
      <c r="G33" t="s">
        <v>42</v>
      </c>
      <c r="H33" t="s">
        <v>38</v>
      </c>
      <c r="I33" t="s">
        <v>97</v>
      </c>
      <c r="J33" t="s">
        <v>98</v>
      </c>
      <c r="Q33" s="1"/>
      <c r="R33" s="1"/>
      <c r="S33" s="1"/>
    </row>
    <row r="34" spans="1:41" x14ac:dyDescent="0.25">
      <c r="A34" t="s">
        <v>33</v>
      </c>
      <c r="B34" t="s">
        <v>77</v>
      </c>
      <c r="C34" t="s">
        <v>78</v>
      </c>
      <c r="D34" t="s">
        <v>48</v>
      </c>
      <c r="E34" t="s">
        <v>79</v>
      </c>
      <c r="F34" t="s">
        <v>67</v>
      </c>
      <c r="G34" t="s">
        <v>45</v>
      </c>
      <c r="H34" t="s">
        <v>38</v>
      </c>
      <c r="I34" t="s">
        <v>99</v>
      </c>
      <c r="J34" t="s">
        <v>100</v>
      </c>
      <c r="Q34" s="1"/>
      <c r="R34" s="1"/>
      <c r="S34" s="1"/>
    </row>
    <row r="35" spans="1:41" x14ac:dyDescent="0.25">
      <c r="A35" t="s">
        <v>33</v>
      </c>
      <c r="B35" t="s">
        <v>101</v>
      </c>
      <c r="C35" t="s">
        <v>102</v>
      </c>
      <c r="D35" t="s">
        <v>48</v>
      </c>
      <c r="E35" t="s">
        <v>103</v>
      </c>
      <c r="F35" t="s">
        <v>69</v>
      </c>
      <c r="G35" t="s">
        <v>37</v>
      </c>
      <c r="H35" t="s">
        <v>38</v>
      </c>
      <c r="I35" t="s">
        <v>104</v>
      </c>
      <c r="J35" t="s">
        <v>40</v>
      </c>
      <c r="K35" t="str">
        <f>_xlfn.CONCAT("k",J35,C35)</f>
        <v>k01|183|01|A3</v>
      </c>
      <c r="N35" s="1" t="s">
        <v>41</v>
      </c>
      <c r="P35" s="1" t="s">
        <v>41</v>
      </c>
      <c r="Q35" s="1" t="s">
        <v>41</v>
      </c>
      <c r="R35" s="1" t="s">
        <v>41</v>
      </c>
      <c r="S35" s="1" t="s">
        <v>41</v>
      </c>
      <c r="T35" s="1" t="s">
        <v>41</v>
      </c>
      <c r="U35" s="1" t="s">
        <v>41</v>
      </c>
      <c r="V35" s="1"/>
      <c r="W35">
        <v>5.32</v>
      </c>
      <c r="X35">
        <v>2.85842794869302</v>
      </c>
      <c r="Y35">
        <v>6.37</v>
      </c>
      <c r="Z35">
        <v>0.56000000000000005</v>
      </c>
      <c r="AA35">
        <v>24.75</v>
      </c>
      <c r="AB35">
        <v>4.1000000000000002E-2</v>
      </c>
      <c r="AC35">
        <v>3.1869999999999998</v>
      </c>
      <c r="AD35">
        <v>2.298</v>
      </c>
      <c r="AE35">
        <v>18.970461278211399</v>
      </c>
      <c r="AF35" s="3">
        <v>436</v>
      </c>
      <c r="AG35" s="3">
        <v>454.00000000000801</v>
      </c>
      <c r="AH35" s="3">
        <v>109.999999999992</v>
      </c>
      <c r="AI35">
        <v>3.0000000000000001E-3</v>
      </c>
      <c r="AJ35">
        <v>0.15</v>
      </c>
      <c r="AK35">
        <v>1.17</v>
      </c>
      <c r="AL35">
        <v>12.1</v>
      </c>
      <c r="AM35">
        <v>4.07</v>
      </c>
      <c r="AN35">
        <v>0.12</v>
      </c>
      <c r="AO35">
        <v>3.76</v>
      </c>
    </row>
    <row r="36" spans="1:41" x14ac:dyDescent="0.25">
      <c r="A36" t="s">
        <v>33</v>
      </c>
      <c r="B36" t="s">
        <v>101</v>
      </c>
      <c r="C36" t="s">
        <v>102</v>
      </c>
      <c r="D36" t="s">
        <v>48</v>
      </c>
      <c r="E36" t="s">
        <v>103</v>
      </c>
      <c r="F36" t="s">
        <v>69</v>
      </c>
      <c r="G36" t="s">
        <v>42</v>
      </c>
      <c r="H36" t="s">
        <v>38</v>
      </c>
      <c r="I36" t="s">
        <v>105</v>
      </c>
      <c r="J36" t="s">
        <v>44</v>
      </c>
      <c r="Q36" s="1"/>
      <c r="R36" s="1"/>
      <c r="S36" s="1"/>
    </row>
    <row r="37" spans="1:41" x14ac:dyDescent="0.25">
      <c r="A37" t="s">
        <v>33</v>
      </c>
      <c r="B37" t="s">
        <v>101</v>
      </c>
      <c r="C37" t="s">
        <v>102</v>
      </c>
      <c r="D37" t="s">
        <v>48</v>
      </c>
      <c r="E37" t="s">
        <v>103</v>
      </c>
      <c r="F37" t="s">
        <v>69</v>
      </c>
      <c r="G37" t="s">
        <v>45</v>
      </c>
      <c r="H37" t="s">
        <v>38</v>
      </c>
      <c r="I37" t="s">
        <v>106</v>
      </c>
      <c r="J37" t="s">
        <v>47</v>
      </c>
      <c r="K37" t="str">
        <f>_xlfn.CONCAT("k",J37,C37)</f>
        <v>k03|183|01|A3</v>
      </c>
      <c r="N37" s="1" t="s">
        <v>41</v>
      </c>
      <c r="P37" s="1" t="s">
        <v>41</v>
      </c>
      <c r="Q37" s="1" t="s">
        <v>41</v>
      </c>
      <c r="R37" s="1" t="s">
        <v>41</v>
      </c>
      <c r="S37" s="1" t="s">
        <v>41</v>
      </c>
      <c r="W37">
        <v>5.87</v>
      </c>
      <c r="X37">
        <v>2.1964596308665398</v>
      </c>
      <c r="Y37">
        <v>6.62</v>
      </c>
      <c r="Z37">
        <v>2.4</v>
      </c>
      <c r="AA37">
        <v>39.29</v>
      </c>
      <c r="AB37">
        <v>7.3999999999999996E-2</v>
      </c>
      <c r="AC37">
        <v>4.0839999999999996</v>
      </c>
      <c r="AD37">
        <v>2.2629999999999999</v>
      </c>
      <c r="AI37">
        <v>1E-3</v>
      </c>
      <c r="AJ37">
        <v>0.21</v>
      </c>
      <c r="AK37">
        <v>0.97</v>
      </c>
      <c r="AL37">
        <v>12.24</v>
      </c>
      <c r="AM37">
        <v>8.6199999999999992</v>
      </c>
      <c r="AN37">
        <v>0.82</v>
      </c>
      <c r="AO37">
        <v>3.54</v>
      </c>
    </row>
    <row r="38" spans="1:41" x14ac:dyDescent="0.25">
      <c r="A38" t="s">
        <v>33</v>
      </c>
      <c r="B38" t="s">
        <v>101</v>
      </c>
      <c r="C38" t="s">
        <v>102</v>
      </c>
      <c r="D38" t="s">
        <v>48</v>
      </c>
      <c r="E38" t="s">
        <v>103</v>
      </c>
      <c r="F38" t="s">
        <v>72</v>
      </c>
      <c r="G38" t="s">
        <v>37</v>
      </c>
      <c r="H38" t="s">
        <v>38</v>
      </c>
      <c r="I38" t="s">
        <v>107</v>
      </c>
      <c r="J38" t="s">
        <v>51</v>
      </c>
      <c r="K38" t="str">
        <f>_xlfn.CONCAT("k",J38,C38)</f>
        <v>k04|183|01|A3</v>
      </c>
      <c r="N38" s="1" t="s">
        <v>41</v>
      </c>
      <c r="Q38" s="1"/>
      <c r="R38" s="1"/>
      <c r="S38" s="1"/>
      <c r="U38" t="s">
        <v>41</v>
      </c>
      <c r="Z38">
        <v>3.57</v>
      </c>
      <c r="AA38">
        <v>48.23</v>
      </c>
      <c r="AF38" s="3">
        <v>469</v>
      </c>
      <c r="AG38" s="3">
        <v>407.99999999999102</v>
      </c>
      <c r="AH38" s="3">
        <v>123.000000000009</v>
      </c>
    </row>
    <row r="39" spans="1:41" x14ac:dyDescent="0.25">
      <c r="A39" t="s">
        <v>33</v>
      </c>
      <c r="B39" t="s">
        <v>101</v>
      </c>
      <c r="C39" t="s">
        <v>102</v>
      </c>
      <c r="D39" t="s">
        <v>48</v>
      </c>
      <c r="E39" t="s">
        <v>103</v>
      </c>
      <c r="F39" t="s">
        <v>72</v>
      </c>
      <c r="G39" t="s">
        <v>42</v>
      </c>
      <c r="H39" t="s">
        <v>38</v>
      </c>
      <c r="I39" t="s">
        <v>108</v>
      </c>
      <c r="J39" t="s">
        <v>53</v>
      </c>
      <c r="Q39" s="1"/>
      <c r="R39" s="1"/>
      <c r="S39" s="1"/>
    </row>
    <row r="40" spans="1:41" x14ac:dyDescent="0.25">
      <c r="A40" t="s">
        <v>33</v>
      </c>
      <c r="B40" t="s">
        <v>101</v>
      </c>
      <c r="C40" t="s">
        <v>102</v>
      </c>
      <c r="D40" t="s">
        <v>48</v>
      </c>
      <c r="E40" t="s">
        <v>103</v>
      </c>
      <c r="F40" t="s">
        <v>72</v>
      </c>
      <c r="G40" t="s">
        <v>45</v>
      </c>
      <c r="H40" t="s">
        <v>38</v>
      </c>
      <c r="I40" t="s">
        <v>109</v>
      </c>
      <c r="J40" t="s">
        <v>55</v>
      </c>
      <c r="Q40" s="1"/>
      <c r="R40" s="1"/>
      <c r="S40" s="1"/>
    </row>
    <row r="41" spans="1:41" x14ac:dyDescent="0.25">
      <c r="A41" t="s">
        <v>33</v>
      </c>
      <c r="B41" t="s">
        <v>101</v>
      </c>
      <c r="C41" t="s">
        <v>102</v>
      </c>
      <c r="D41" t="s">
        <v>48</v>
      </c>
      <c r="E41" t="s">
        <v>103</v>
      </c>
      <c r="F41" t="s">
        <v>74</v>
      </c>
      <c r="G41" t="s">
        <v>37</v>
      </c>
      <c r="H41" t="s">
        <v>38</v>
      </c>
      <c r="I41" t="s">
        <v>110</v>
      </c>
      <c r="J41" t="s">
        <v>58</v>
      </c>
      <c r="K41" t="str">
        <f>_xlfn.CONCAT("k",J41,C41)</f>
        <v>k07|183|01|A3</v>
      </c>
      <c r="N41" s="1" t="s">
        <v>41</v>
      </c>
      <c r="Q41" s="1"/>
      <c r="R41" s="1"/>
      <c r="S41" s="1"/>
      <c r="Z41">
        <v>4.7</v>
      </c>
      <c r="AA41">
        <v>31.45</v>
      </c>
    </row>
    <row r="42" spans="1:41" x14ac:dyDescent="0.25">
      <c r="A42" t="s">
        <v>33</v>
      </c>
      <c r="B42" t="s">
        <v>101</v>
      </c>
      <c r="C42" t="s">
        <v>102</v>
      </c>
      <c r="D42" t="s">
        <v>48</v>
      </c>
      <c r="E42" t="s">
        <v>103</v>
      </c>
      <c r="F42" t="s">
        <v>74</v>
      </c>
      <c r="G42" t="s">
        <v>42</v>
      </c>
      <c r="H42" t="s">
        <v>38</v>
      </c>
      <c r="I42" t="s">
        <v>111</v>
      </c>
      <c r="J42" t="s">
        <v>60</v>
      </c>
      <c r="Q42" s="1"/>
      <c r="R42" s="1"/>
      <c r="S42" s="1"/>
    </row>
    <row r="43" spans="1:41" x14ac:dyDescent="0.25">
      <c r="A43" t="s">
        <v>33</v>
      </c>
      <c r="B43" t="s">
        <v>101</v>
      </c>
      <c r="C43" t="s">
        <v>102</v>
      </c>
      <c r="D43" t="s">
        <v>48</v>
      </c>
      <c r="E43" t="s">
        <v>103</v>
      </c>
      <c r="F43" t="s">
        <v>74</v>
      </c>
      <c r="G43" t="s">
        <v>45</v>
      </c>
      <c r="H43" t="s">
        <v>38</v>
      </c>
      <c r="I43" t="s">
        <v>112</v>
      </c>
      <c r="J43" t="s">
        <v>62</v>
      </c>
      <c r="Q43" s="1"/>
      <c r="R43" s="1"/>
      <c r="S43" s="1"/>
    </row>
    <row r="44" spans="1:41" x14ac:dyDescent="0.25">
      <c r="A44" t="s">
        <v>33</v>
      </c>
      <c r="B44" t="s">
        <v>101</v>
      </c>
      <c r="C44" t="s">
        <v>102</v>
      </c>
      <c r="D44" t="s">
        <v>48</v>
      </c>
      <c r="E44" t="s">
        <v>103</v>
      </c>
      <c r="F44" t="s">
        <v>76</v>
      </c>
      <c r="G44" t="s">
        <v>37</v>
      </c>
      <c r="H44" t="s">
        <v>38</v>
      </c>
      <c r="I44" t="s">
        <v>113</v>
      </c>
      <c r="J44" t="s">
        <v>65</v>
      </c>
      <c r="K44" t="str">
        <f>_xlfn.CONCAT("k",J44,C44)</f>
        <v>k10|183|01|A3</v>
      </c>
      <c r="N44" s="1" t="s">
        <v>41</v>
      </c>
      <c r="Q44" s="1"/>
      <c r="R44" s="1"/>
      <c r="S44" s="1"/>
      <c r="Z44">
        <v>4.92</v>
      </c>
      <c r="AA44">
        <v>34.24</v>
      </c>
    </row>
    <row r="45" spans="1:41" x14ac:dyDescent="0.25">
      <c r="A45" t="s">
        <v>33</v>
      </c>
      <c r="B45" t="s">
        <v>101</v>
      </c>
      <c r="C45" t="s">
        <v>102</v>
      </c>
      <c r="D45" t="s">
        <v>48</v>
      </c>
      <c r="E45" t="s">
        <v>103</v>
      </c>
      <c r="F45" t="s">
        <v>76</v>
      </c>
      <c r="G45" t="s">
        <v>42</v>
      </c>
      <c r="H45" t="s">
        <v>38</v>
      </c>
      <c r="I45" t="s">
        <v>114</v>
      </c>
      <c r="J45" t="s">
        <v>67</v>
      </c>
      <c r="Q45" s="1"/>
      <c r="R45" s="1"/>
      <c r="S45" s="1"/>
    </row>
    <row r="46" spans="1:41" x14ac:dyDescent="0.25">
      <c r="A46" t="s">
        <v>33</v>
      </c>
      <c r="B46" t="s">
        <v>101</v>
      </c>
      <c r="C46" t="s">
        <v>102</v>
      </c>
      <c r="D46" t="s">
        <v>48</v>
      </c>
      <c r="E46" t="s">
        <v>103</v>
      </c>
      <c r="F46" t="s">
        <v>76</v>
      </c>
      <c r="G46" t="s">
        <v>45</v>
      </c>
      <c r="H46" t="s">
        <v>38</v>
      </c>
      <c r="I46" t="s">
        <v>115</v>
      </c>
      <c r="J46" t="s">
        <v>69</v>
      </c>
      <c r="Q46" s="1"/>
      <c r="R46" s="1"/>
      <c r="S46" s="1"/>
    </row>
    <row r="47" spans="1:41" x14ac:dyDescent="0.25">
      <c r="A47" t="s">
        <v>33</v>
      </c>
      <c r="B47" t="s">
        <v>101</v>
      </c>
      <c r="C47" t="s">
        <v>102</v>
      </c>
      <c r="D47" t="s">
        <v>48</v>
      </c>
      <c r="E47" t="s">
        <v>103</v>
      </c>
      <c r="F47" t="s">
        <v>96</v>
      </c>
      <c r="G47" t="s">
        <v>37</v>
      </c>
      <c r="H47" t="s">
        <v>38</v>
      </c>
      <c r="I47" t="s">
        <v>116</v>
      </c>
      <c r="J47" t="s">
        <v>72</v>
      </c>
      <c r="K47" t="str">
        <f>_xlfn.CONCAT("k",J47,C47)</f>
        <v>k13|183|01|A3</v>
      </c>
      <c r="N47" s="1" t="s">
        <v>41</v>
      </c>
      <c r="P47" s="1" t="s">
        <v>41</v>
      </c>
      <c r="Q47" s="1" t="s">
        <v>41</v>
      </c>
      <c r="R47" s="1" t="s">
        <v>41</v>
      </c>
      <c r="S47" s="1" t="s">
        <v>41</v>
      </c>
      <c r="T47" s="1" t="s">
        <v>41</v>
      </c>
      <c r="U47" s="1" t="s">
        <v>41</v>
      </c>
      <c r="V47" s="1"/>
      <c r="W47">
        <v>4.9800000000000004</v>
      </c>
      <c r="X47">
        <v>3.7199000714827402</v>
      </c>
      <c r="Y47">
        <v>6.12</v>
      </c>
      <c r="Z47">
        <v>1.97</v>
      </c>
      <c r="AA47">
        <v>226.29</v>
      </c>
      <c r="AB47">
        <v>0.59599999999999997</v>
      </c>
      <c r="AC47">
        <v>3.3929999999999998</v>
      </c>
      <c r="AD47">
        <v>1.53</v>
      </c>
      <c r="AE47">
        <v>23.743818586582599</v>
      </c>
      <c r="AF47" s="3">
        <v>160</v>
      </c>
      <c r="AG47" s="3">
        <v>640.99999999999795</v>
      </c>
      <c r="AH47" s="3">
        <v>199.00000000000199</v>
      </c>
      <c r="AI47">
        <v>8.0000000000000002E-3</v>
      </c>
      <c r="AJ47">
        <v>0.36</v>
      </c>
      <c r="AK47">
        <v>5.0599999999999996</v>
      </c>
      <c r="AL47">
        <v>11.88</v>
      </c>
      <c r="AM47">
        <v>13.82</v>
      </c>
      <c r="AN47">
        <v>1.1399999999999999</v>
      </c>
      <c r="AO47">
        <v>27.88</v>
      </c>
    </row>
    <row r="48" spans="1:41" x14ac:dyDescent="0.25">
      <c r="A48" t="s">
        <v>33</v>
      </c>
      <c r="B48" t="s">
        <v>101</v>
      </c>
      <c r="C48" t="s">
        <v>102</v>
      </c>
      <c r="D48" t="s">
        <v>48</v>
      </c>
      <c r="E48" t="s">
        <v>103</v>
      </c>
      <c r="F48" t="s">
        <v>96</v>
      </c>
      <c r="G48" t="s">
        <v>42</v>
      </c>
      <c r="H48" t="s">
        <v>38</v>
      </c>
      <c r="I48" t="s">
        <v>117</v>
      </c>
      <c r="J48" t="s">
        <v>74</v>
      </c>
      <c r="Q48" s="1"/>
      <c r="R48" s="1"/>
      <c r="S48" s="1"/>
    </row>
    <row r="49" spans="1:41" x14ac:dyDescent="0.25">
      <c r="A49" t="s">
        <v>33</v>
      </c>
      <c r="B49" t="s">
        <v>101</v>
      </c>
      <c r="C49" t="s">
        <v>102</v>
      </c>
      <c r="D49" t="s">
        <v>48</v>
      </c>
      <c r="E49" t="s">
        <v>103</v>
      </c>
      <c r="F49" t="s">
        <v>96</v>
      </c>
      <c r="G49" t="s">
        <v>45</v>
      </c>
      <c r="H49" t="s">
        <v>38</v>
      </c>
      <c r="I49" t="s">
        <v>118</v>
      </c>
      <c r="J49" t="s">
        <v>76</v>
      </c>
      <c r="P49" s="1" t="s">
        <v>41</v>
      </c>
      <c r="Q49" s="1" t="s">
        <v>41</v>
      </c>
      <c r="R49" s="1" t="s">
        <v>41</v>
      </c>
      <c r="S49" s="1" t="s">
        <v>41</v>
      </c>
      <c r="W49">
        <v>5.12</v>
      </c>
      <c r="X49">
        <v>3.8393681370601902</v>
      </c>
      <c r="Y49">
        <v>6.09</v>
      </c>
      <c r="AB49">
        <v>0.32800000000000001</v>
      </c>
      <c r="AC49">
        <v>4.2809999999999997</v>
      </c>
      <c r="AD49">
        <v>1.8129999999999999</v>
      </c>
      <c r="AI49">
        <v>6.0000000000000001E-3</v>
      </c>
      <c r="AJ49">
        <v>0.4</v>
      </c>
      <c r="AK49">
        <v>4.8499999999999996</v>
      </c>
      <c r="AL49">
        <v>14.08</v>
      </c>
      <c r="AM49">
        <v>13.18</v>
      </c>
      <c r="AN49">
        <v>2.2400000000000002</v>
      </c>
      <c r="AO49">
        <v>19.989999999999998</v>
      </c>
    </row>
    <row r="50" spans="1:41" x14ac:dyDescent="0.25">
      <c r="A50" t="s">
        <v>33</v>
      </c>
      <c r="B50" t="s">
        <v>101</v>
      </c>
      <c r="C50" t="s">
        <v>102</v>
      </c>
      <c r="D50" t="s">
        <v>48</v>
      </c>
      <c r="E50" t="s">
        <v>103</v>
      </c>
      <c r="F50" t="s">
        <v>98</v>
      </c>
      <c r="G50" t="s">
        <v>37</v>
      </c>
      <c r="H50" t="s">
        <v>38</v>
      </c>
      <c r="I50" t="s">
        <v>119</v>
      </c>
      <c r="J50" t="s">
        <v>96</v>
      </c>
      <c r="K50" t="str">
        <f>_xlfn.CONCAT("k",J50,C50)</f>
        <v>k16|183|01|A3</v>
      </c>
      <c r="N50" s="1" t="s">
        <v>41</v>
      </c>
      <c r="Q50" s="1"/>
      <c r="R50" s="1"/>
      <c r="S50" s="1"/>
      <c r="U50" s="1" t="s">
        <v>41</v>
      </c>
      <c r="V50" s="1"/>
      <c r="Z50">
        <v>1.87</v>
      </c>
      <c r="AA50">
        <v>254.41</v>
      </c>
      <c r="AF50" s="3">
        <v>169</v>
      </c>
      <c r="AG50" s="3">
        <v>632.99999999999898</v>
      </c>
      <c r="AH50" s="3">
        <v>198.00000000000099</v>
      </c>
    </row>
    <row r="51" spans="1:41" x14ac:dyDescent="0.25">
      <c r="A51" t="s">
        <v>33</v>
      </c>
      <c r="B51" t="s">
        <v>101</v>
      </c>
      <c r="C51" t="s">
        <v>102</v>
      </c>
      <c r="D51" t="s">
        <v>48</v>
      </c>
      <c r="E51" t="s">
        <v>103</v>
      </c>
      <c r="F51" t="s">
        <v>98</v>
      </c>
      <c r="G51" t="s">
        <v>42</v>
      </c>
      <c r="H51" t="s">
        <v>38</v>
      </c>
      <c r="I51" t="s">
        <v>120</v>
      </c>
      <c r="J51" t="s">
        <v>98</v>
      </c>
      <c r="Q51" s="1"/>
      <c r="R51" s="1"/>
      <c r="S51" s="1"/>
    </row>
    <row r="52" spans="1:41" x14ac:dyDescent="0.25">
      <c r="A52" t="s">
        <v>33</v>
      </c>
      <c r="B52" t="s">
        <v>101</v>
      </c>
      <c r="C52" t="s">
        <v>102</v>
      </c>
      <c r="D52" t="s">
        <v>48</v>
      </c>
      <c r="E52" t="s">
        <v>103</v>
      </c>
      <c r="F52" t="s">
        <v>98</v>
      </c>
      <c r="G52" t="s">
        <v>45</v>
      </c>
      <c r="H52" t="s">
        <v>38</v>
      </c>
      <c r="I52" t="s">
        <v>121</v>
      </c>
      <c r="J52" t="s">
        <v>100</v>
      </c>
      <c r="Q52" s="1"/>
      <c r="R52" s="1"/>
      <c r="S52" s="1"/>
    </row>
    <row r="53" spans="1:41" x14ac:dyDescent="0.25">
      <c r="A53" t="s">
        <v>33</v>
      </c>
      <c r="B53" t="s">
        <v>101</v>
      </c>
      <c r="C53" t="s">
        <v>102</v>
      </c>
      <c r="D53" t="s">
        <v>48</v>
      </c>
      <c r="E53" t="s">
        <v>103</v>
      </c>
      <c r="F53" t="s">
        <v>100</v>
      </c>
      <c r="G53" t="s">
        <v>37</v>
      </c>
      <c r="H53" t="s">
        <v>38</v>
      </c>
      <c r="I53" t="s">
        <v>122</v>
      </c>
      <c r="J53" t="s">
        <v>123</v>
      </c>
      <c r="K53" t="str">
        <f>_xlfn.CONCAT("k",J53,C53)</f>
        <v>k19|183|01|A3</v>
      </c>
      <c r="N53" s="1" t="s">
        <v>41</v>
      </c>
      <c r="Q53" s="1"/>
      <c r="R53" s="1"/>
      <c r="S53" s="1"/>
      <c r="Z53">
        <v>4.46</v>
      </c>
      <c r="AA53">
        <v>210.19</v>
      </c>
    </row>
    <row r="54" spans="1:41" x14ac:dyDescent="0.25">
      <c r="A54" t="s">
        <v>33</v>
      </c>
      <c r="B54" t="s">
        <v>101</v>
      </c>
      <c r="C54" t="s">
        <v>102</v>
      </c>
      <c r="D54" t="s">
        <v>48</v>
      </c>
      <c r="E54" t="s">
        <v>103</v>
      </c>
      <c r="F54" t="s">
        <v>100</v>
      </c>
      <c r="G54" t="s">
        <v>42</v>
      </c>
      <c r="H54" t="s">
        <v>38</v>
      </c>
      <c r="I54" t="s">
        <v>124</v>
      </c>
      <c r="J54" t="s">
        <v>125</v>
      </c>
      <c r="Q54" s="1"/>
      <c r="R54" s="1"/>
      <c r="S54" s="1"/>
    </row>
    <row r="55" spans="1:41" x14ac:dyDescent="0.25">
      <c r="A55" t="s">
        <v>33</v>
      </c>
      <c r="B55" t="s">
        <v>101</v>
      </c>
      <c r="C55" t="s">
        <v>102</v>
      </c>
      <c r="D55" t="s">
        <v>48</v>
      </c>
      <c r="E55" t="s">
        <v>103</v>
      </c>
      <c r="F55" t="s">
        <v>100</v>
      </c>
      <c r="G55" t="s">
        <v>45</v>
      </c>
      <c r="H55" t="s">
        <v>38</v>
      </c>
      <c r="I55" t="s">
        <v>126</v>
      </c>
      <c r="J55" t="s">
        <v>127</v>
      </c>
      <c r="Q55" s="1"/>
      <c r="R55" s="1"/>
      <c r="S55" s="1"/>
    </row>
    <row r="56" spans="1:41" x14ac:dyDescent="0.25">
      <c r="A56" t="s">
        <v>33</v>
      </c>
      <c r="B56" t="s">
        <v>101</v>
      </c>
      <c r="C56" t="s">
        <v>102</v>
      </c>
      <c r="D56" t="s">
        <v>48</v>
      </c>
      <c r="E56" t="s">
        <v>103</v>
      </c>
      <c r="F56" t="s">
        <v>123</v>
      </c>
      <c r="G56" t="s">
        <v>37</v>
      </c>
      <c r="H56" t="s">
        <v>38</v>
      </c>
      <c r="I56" t="s">
        <v>128</v>
      </c>
      <c r="J56" t="s">
        <v>129</v>
      </c>
      <c r="K56" t="str">
        <f>_xlfn.CONCAT("k",J56,C56)</f>
        <v>k22|183|01|A3</v>
      </c>
      <c r="N56" s="1" t="s">
        <v>41</v>
      </c>
      <c r="Q56" s="1"/>
      <c r="R56" s="1"/>
      <c r="S56" s="1"/>
      <c r="Z56">
        <v>3.6</v>
      </c>
      <c r="AA56">
        <v>197.12</v>
      </c>
    </row>
    <row r="57" spans="1:41" x14ac:dyDescent="0.25">
      <c r="A57" t="s">
        <v>33</v>
      </c>
      <c r="B57" t="s">
        <v>101</v>
      </c>
      <c r="C57" t="s">
        <v>102</v>
      </c>
      <c r="D57" t="s">
        <v>48</v>
      </c>
      <c r="E57" t="s">
        <v>103</v>
      </c>
      <c r="F57" t="s">
        <v>123</v>
      </c>
      <c r="G57" t="s">
        <v>42</v>
      </c>
      <c r="H57" t="s">
        <v>38</v>
      </c>
      <c r="I57" t="s">
        <v>130</v>
      </c>
      <c r="J57" t="s">
        <v>131</v>
      </c>
      <c r="Q57" s="1"/>
      <c r="R57" s="1"/>
      <c r="S57" s="1"/>
    </row>
    <row r="58" spans="1:41" x14ac:dyDescent="0.25">
      <c r="A58" t="s">
        <v>33</v>
      </c>
      <c r="B58" t="s">
        <v>101</v>
      </c>
      <c r="C58" t="s">
        <v>102</v>
      </c>
      <c r="D58" t="s">
        <v>48</v>
      </c>
      <c r="E58" t="s">
        <v>103</v>
      </c>
      <c r="F58" t="s">
        <v>123</v>
      </c>
      <c r="G58" t="s">
        <v>45</v>
      </c>
      <c r="H58" t="s">
        <v>38</v>
      </c>
      <c r="I58" t="s">
        <v>132</v>
      </c>
      <c r="J58" t="s">
        <v>133</v>
      </c>
      <c r="Q58" s="1"/>
      <c r="R58" s="1"/>
      <c r="S58" s="1"/>
    </row>
    <row r="59" spans="1:41" x14ac:dyDescent="0.25">
      <c r="A59" t="s">
        <v>33</v>
      </c>
      <c r="B59" t="s">
        <v>101</v>
      </c>
      <c r="C59" t="s">
        <v>102</v>
      </c>
      <c r="D59" t="s">
        <v>48</v>
      </c>
      <c r="E59" t="s">
        <v>103</v>
      </c>
      <c r="F59" t="s">
        <v>125</v>
      </c>
      <c r="G59" t="s">
        <v>37</v>
      </c>
      <c r="H59" t="s">
        <v>38</v>
      </c>
      <c r="I59" t="s">
        <v>134</v>
      </c>
      <c r="J59" t="s">
        <v>135</v>
      </c>
      <c r="K59" t="str">
        <f>_xlfn.CONCAT("k",J59,C59)</f>
        <v>k25|183|01|A3</v>
      </c>
      <c r="N59" s="1" t="s">
        <v>41</v>
      </c>
      <c r="Q59" s="1"/>
      <c r="R59" s="1"/>
      <c r="S59" s="1"/>
      <c r="Z59">
        <v>8.2799999999999994</v>
      </c>
      <c r="AA59">
        <v>105.9</v>
      </c>
    </row>
    <row r="60" spans="1:41" x14ac:dyDescent="0.25">
      <c r="A60" t="s">
        <v>33</v>
      </c>
      <c r="B60" t="s">
        <v>101</v>
      </c>
      <c r="C60" t="s">
        <v>102</v>
      </c>
      <c r="D60" t="s">
        <v>48</v>
      </c>
      <c r="E60" t="s">
        <v>103</v>
      </c>
      <c r="F60" t="s">
        <v>125</v>
      </c>
      <c r="G60" t="s">
        <v>42</v>
      </c>
      <c r="H60" t="s">
        <v>38</v>
      </c>
      <c r="I60" t="s">
        <v>136</v>
      </c>
      <c r="J60" t="s">
        <v>137</v>
      </c>
      <c r="Q60" s="1"/>
      <c r="R60" s="1"/>
      <c r="S60" s="1"/>
    </row>
    <row r="61" spans="1:41" x14ac:dyDescent="0.25">
      <c r="A61" t="s">
        <v>33</v>
      </c>
      <c r="B61" t="s">
        <v>101</v>
      </c>
      <c r="C61" t="s">
        <v>102</v>
      </c>
      <c r="D61" t="s">
        <v>48</v>
      </c>
      <c r="E61" t="s">
        <v>103</v>
      </c>
      <c r="F61" t="s">
        <v>125</v>
      </c>
      <c r="G61" t="s">
        <v>45</v>
      </c>
      <c r="H61" t="s">
        <v>38</v>
      </c>
      <c r="I61" t="s">
        <v>138</v>
      </c>
      <c r="J61" t="s">
        <v>139</v>
      </c>
      <c r="Q61" s="1"/>
      <c r="R61" s="1"/>
      <c r="S61" s="1"/>
    </row>
    <row r="62" spans="1:41" x14ac:dyDescent="0.25">
      <c r="A62" t="s">
        <v>33</v>
      </c>
      <c r="B62" t="s">
        <v>101</v>
      </c>
      <c r="C62" t="s">
        <v>102</v>
      </c>
      <c r="D62" t="s">
        <v>48</v>
      </c>
      <c r="E62" t="s">
        <v>103</v>
      </c>
      <c r="F62" t="s">
        <v>127</v>
      </c>
      <c r="G62" t="s">
        <v>37</v>
      </c>
      <c r="H62" t="s">
        <v>38</v>
      </c>
      <c r="I62" t="s">
        <v>140</v>
      </c>
      <c r="J62" t="s">
        <v>141</v>
      </c>
      <c r="K62" t="str">
        <f>_xlfn.CONCAT("k",J62,C62)</f>
        <v>k28|183|01|A3</v>
      </c>
      <c r="N62" s="1" t="s">
        <v>41</v>
      </c>
      <c r="Q62" s="1"/>
      <c r="R62" s="1"/>
      <c r="S62" s="1"/>
      <c r="Z62">
        <v>5.58</v>
      </c>
      <c r="AA62">
        <v>97.17</v>
      </c>
    </row>
    <row r="63" spans="1:41" x14ac:dyDescent="0.25">
      <c r="A63" t="s">
        <v>33</v>
      </c>
      <c r="B63" t="s">
        <v>101</v>
      </c>
      <c r="C63" t="s">
        <v>102</v>
      </c>
      <c r="D63" t="s">
        <v>48</v>
      </c>
      <c r="E63" t="s">
        <v>103</v>
      </c>
      <c r="F63" t="s">
        <v>127</v>
      </c>
      <c r="G63" t="s">
        <v>42</v>
      </c>
      <c r="H63" t="s">
        <v>38</v>
      </c>
      <c r="I63" t="s">
        <v>142</v>
      </c>
      <c r="J63" t="s">
        <v>143</v>
      </c>
      <c r="Q63" s="1"/>
      <c r="R63" s="1"/>
      <c r="S63" s="1"/>
    </row>
    <row r="64" spans="1:41" x14ac:dyDescent="0.25">
      <c r="A64" t="s">
        <v>33</v>
      </c>
      <c r="B64" t="s">
        <v>101</v>
      </c>
      <c r="C64" t="s">
        <v>102</v>
      </c>
      <c r="D64" t="s">
        <v>48</v>
      </c>
      <c r="E64" t="s">
        <v>103</v>
      </c>
      <c r="F64" t="s">
        <v>127</v>
      </c>
      <c r="G64" t="s">
        <v>45</v>
      </c>
      <c r="H64" t="s">
        <v>38</v>
      </c>
      <c r="I64" t="s">
        <v>144</v>
      </c>
      <c r="J64" t="s">
        <v>145</v>
      </c>
      <c r="Q64" s="1"/>
      <c r="R64" s="1"/>
      <c r="S64" s="1"/>
    </row>
    <row r="65" spans="1:41" x14ac:dyDescent="0.25">
      <c r="A65" t="s">
        <v>33</v>
      </c>
      <c r="B65" t="s">
        <v>146</v>
      </c>
      <c r="C65" t="s">
        <v>147</v>
      </c>
      <c r="D65" t="s">
        <v>48</v>
      </c>
      <c r="E65" t="s">
        <v>148</v>
      </c>
      <c r="F65" t="s">
        <v>129</v>
      </c>
      <c r="G65" t="s">
        <v>37</v>
      </c>
      <c r="H65" t="s">
        <v>38</v>
      </c>
      <c r="I65" t="s">
        <v>149</v>
      </c>
      <c r="J65" t="s">
        <v>40</v>
      </c>
      <c r="K65" t="str">
        <f>_xlfn.CONCAT("k",J65,C65)</f>
        <v>k01|183|01|A4</v>
      </c>
      <c r="N65" s="1" t="s">
        <v>41</v>
      </c>
      <c r="P65" s="1" t="s">
        <v>41</v>
      </c>
      <c r="Q65" s="1" t="s">
        <v>41</v>
      </c>
      <c r="R65" s="1" t="s">
        <v>41</v>
      </c>
      <c r="S65" s="1" t="s">
        <v>41</v>
      </c>
      <c r="T65" s="1" t="s">
        <v>41</v>
      </c>
      <c r="W65">
        <v>4.53</v>
      </c>
      <c r="X65">
        <v>8.3732810209939608</v>
      </c>
      <c r="Y65">
        <v>5.35</v>
      </c>
      <c r="Z65">
        <v>8.15</v>
      </c>
      <c r="AA65">
        <v>254.7</v>
      </c>
      <c r="AB65">
        <v>0.63300000000000001</v>
      </c>
      <c r="AC65">
        <v>3.419</v>
      </c>
      <c r="AD65">
        <v>1.389</v>
      </c>
      <c r="AE65">
        <v>44.364722158746098</v>
      </c>
      <c r="AI65">
        <v>0.115</v>
      </c>
      <c r="AJ65">
        <v>0.42</v>
      </c>
      <c r="AK65">
        <v>6.38</v>
      </c>
      <c r="AL65">
        <v>12.3</v>
      </c>
      <c r="AM65">
        <v>46.2</v>
      </c>
      <c r="AN65">
        <v>3.75</v>
      </c>
      <c r="AO65">
        <v>21.27</v>
      </c>
    </row>
    <row r="66" spans="1:41" x14ac:dyDescent="0.25">
      <c r="A66" t="s">
        <v>33</v>
      </c>
      <c r="B66" t="s">
        <v>146</v>
      </c>
      <c r="C66" t="s">
        <v>147</v>
      </c>
      <c r="D66" t="s">
        <v>48</v>
      </c>
      <c r="E66" t="s">
        <v>148</v>
      </c>
      <c r="F66" t="s">
        <v>129</v>
      </c>
      <c r="G66" t="s">
        <v>42</v>
      </c>
      <c r="H66" t="s">
        <v>38</v>
      </c>
      <c r="I66" t="s">
        <v>150</v>
      </c>
      <c r="J66" t="s">
        <v>44</v>
      </c>
      <c r="Q66" s="1"/>
      <c r="R66" s="1"/>
      <c r="S66" s="1"/>
    </row>
    <row r="67" spans="1:41" x14ac:dyDescent="0.25">
      <c r="A67" t="s">
        <v>33</v>
      </c>
      <c r="B67" t="s">
        <v>146</v>
      </c>
      <c r="C67" t="s">
        <v>147</v>
      </c>
      <c r="D67" t="s">
        <v>48</v>
      </c>
      <c r="E67" t="s">
        <v>148</v>
      </c>
      <c r="F67" t="s">
        <v>129</v>
      </c>
      <c r="G67" t="s">
        <v>45</v>
      </c>
      <c r="H67" t="s">
        <v>38</v>
      </c>
      <c r="I67" t="s">
        <v>151</v>
      </c>
      <c r="J67" t="s">
        <v>47</v>
      </c>
      <c r="K67" t="str">
        <f>_xlfn.CONCAT("k",J67,C67)</f>
        <v>k03|183|01|A4</v>
      </c>
      <c r="N67" s="1" t="s">
        <v>41</v>
      </c>
      <c r="P67" s="1" t="s">
        <v>41</v>
      </c>
      <c r="Q67" s="1" t="s">
        <v>41</v>
      </c>
      <c r="R67" s="1" t="s">
        <v>41</v>
      </c>
      <c r="S67" s="1" t="s">
        <v>41</v>
      </c>
      <c r="W67">
        <v>4.51</v>
      </c>
      <c r="X67">
        <v>4.5444186307421397</v>
      </c>
      <c r="Y67">
        <v>5.93</v>
      </c>
      <c r="Z67">
        <v>1.1100000000000001</v>
      </c>
      <c r="AA67">
        <v>58.76</v>
      </c>
      <c r="AB67">
        <v>0.13300000000000001</v>
      </c>
      <c r="AC67">
        <v>1.8560000000000001</v>
      </c>
      <c r="AD67">
        <v>0.63200000000000001</v>
      </c>
      <c r="AI67">
        <v>9.7000000000000003E-2</v>
      </c>
      <c r="AJ67">
        <v>0.18</v>
      </c>
      <c r="AK67">
        <v>10.08</v>
      </c>
      <c r="AL67">
        <v>12.37</v>
      </c>
      <c r="AM67">
        <v>18.88</v>
      </c>
      <c r="AN67">
        <v>0.26</v>
      </c>
      <c r="AO67">
        <v>150.27000000000001</v>
      </c>
    </row>
    <row r="68" spans="1:41" x14ac:dyDescent="0.25">
      <c r="A68" t="s">
        <v>33</v>
      </c>
      <c r="B68" t="s">
        <v>146</v>
      </c>
      <c r="C68" t="s">
        <v>147</v>
      </c>
      <c r="D68" t="s">
        <v>48</v>
      </c>
      <c r="E68" t="s">
        <v>148</v>
      </c>
      <c r="F68" t="s">
        <v>131</v>
      </c>
      <c r="G68" t="s">
        <v>37</v>
      </c>
      <c r="H68" t="s">
        <v>38</v>
      </c>
      <c r="I68" t="s">
        <v>152</v>
      </c>
      <c r="J68" t="s">
        <v>51</v>
      </c>
      <c r="K68" t="str">
        <f>_xlfn.CONCAT("k",J68,C68)</f>
        <v>k04|183|01|A4</v>
      </c>
      <c r="N68" s="1" t="s">
        <v>41</v>
      </c>
      <c r="Q68" s="1"/>
      <c r="R68" s="1"/>
      <c r="S68" s="1"/>
      <c r="U68" t="s">
        <v>41</v>
      </c>
      <c r="Z68">
        <v>4.9800000000000004</v>
      </c>
      <c r="AA68">
        <v>114.56</v>
      </c>
      <c r="AF68" s="3">
        <v>338</v>
      </c>
      <c r="AG68" s="3">
        <v>500</v>
      </c>
      <c r="AH68" s="3">
        <v>162.00000000000099</v>
      </c>
    </row>
    <row r="69" spans="1:41" x14ac:dyDescent="0.25">
      <c r="A69" t="s">
        <v>33</v>
      </c>
      <c r="B69" t="s">
        <v>146</v>
      </c>
      <c r="C69" t="s">
        <v>147</v>
      </c>
      <c r="D69" t="s">
        <v>48</v>
      </c>
      <c r="E69" t="s">
        <v>148</v>
      </c>
      <c r="F69" t="s">
        <v>131</v>
      </c>
      <c r="G69" t="s">
        <v>42</v>
      </c>
      <c r="H69" t="s">
        <v>38</v>
      </c>
      <c r="I69" t="s">
        <v>153</v>
      </c>
      <c r="J69" t="s">
        <v>53</v>
      </c>
      <c r="Q69" s="1"/>
      <c r="R69" s="1"/>
      <c r="S69" s="1"/>
    </row>
    <row r="70" spans="1:41" x14ac:dyDescent="0.25">
      <c r="A70" t="s">
        <v>33</v>
      </c>
      <c r="B70" t="s">
        <v>146</v>
      </c>
      <c r="C70" t="s">
        <v>147</v>
      </c>
      <c r="D70" t="s">
        <v>48</v>
      </c>
      <c r="E70" t="s">
        <v>148</v>
      </c>
      <c r="F70" t="s">
        <v>131</v>
      </c>
      <c r="G70" t="s">
        <v>45</v>
      </c>
      <c r="H70" t="s">
        <v>38</v>
      </c>
      <c r="I70" t="s">
        <v>154</v>
      </c>
      <c r="J70" t="s">
        <v>55</v>
      </c>
      <c r="Q70" s="1"/>
      <c r="R70" s="1"/>
      <c r="S70" s="1"/>
    </row>
    <row r="71" spans="1:41" x14ac:dyDescent="0.25">
      <c r="A71" t="s">
        <v>33</v>
      </c>
      <c r="B71" t="s">
        <v>146</v>
      </c>
      <c r="C71" t="s">
        <v>147</v>
      </c>
      <c r="D71" t="s">
        <v>33</v>
      </c>
      <c r="E71" t="s">
        <v>148</v>
      </c>
      <c r="F71" t="s">
        <v>133</v>
      </c>
      <c r="G71" t="s">
        <v>37</v>
      </c>
      <c r="H71" t="s">
        <v>38</v>
      </c>
      <c r="I71" t="s">
        <v>155</v>
      </c>
      <c r="J71" t="s">
        <v>58</v>
      </c>
      <c r="K71" t="str">
        <f>_xlfn.CONCAT("k",J71,C71)</f>
        <v>k07|183|01|A4</v>
      </c>
      <c r="N71" s="1" t="s">
        <v>41</v>
      </c>
      <c r="Q71" s="1"/>
      <c r="R71" s="1"/>
      <c r="S71" s="1"/>
      <c r="Z71">
        <v>1.53</v>
      </c>
      <c r="AA71">
        <v>94.55</v>
      </c>
    </row>
    <row r="72" spans="1:41" x14ac:dyDescent="0.25">
      <c r="A72" t="s">
        <v>33</v>
      </c>
      <c r="B72" t="s">
        <v>146</v>
      </c>
      <c r="C72" t="s">
        <v>147</v>
      </c>
      <c r="D72" t="s">
        <v>33</v>
      </c>
      <c r="E72" t="s">
        <v>148</v>
      </c>
      <c r="F72" t="s">
        <v>133</v>
      </c>
      <c r="G72" t="s">
        <v>42</v>
      </c>
      <c r="H72" t="s">
        <v>38</v>
      </c>
      <c r="I72" t="s">
        <v>156</v>
      </c>
      <c r="J72" t="s">
        <v>60</v>
      </c>
      <c r="Q72" s="1"/>
      <c r="R72" s="1"/>
      <c r="S72" s="1"/>
    </row>
    <row r="73" spans="1:41" x14ac:dyDescent="0.25">
      <c r="A73" t="s">
        <v>33</v>
      </c>
      <c r="B73" t="s">
        <v>146</v>
      </c>
      <c r="C73" t="s">
        <v>147</v>
      </c>
      <c r="D73" t="s">
        <v>33</v>
      </c>
      <c r="E73" t="s">
        <v>148</v>
      </c>
      <c r="F73" t="s">
        <v>133</v>
      </c>
      <c r="G73" t="s">
        <v>45</v>
      </c>
      <c r="H73" t="s">
        <v>38</v>
      </c>
      <c r="I73" t="s">
        <v>157</v>
      </c>
      <c r="J73" t="s">
        <v>62</v>
      </c>
      <c r="Q73" s="1"/>
      <c r="R73" s="1"/>
      <c r="S73" s="1"/>
    </row>
    <row r="74" spans="1:41" x14ac:dyDescent="0.25">
      <c r="A74" t="s">
        <v>33</v>
      </c>
      <c r="B74" t="s">
        <v>146</v>
      </c>
      <c r="C74" t="s">
        <v>147</v>
      </c>
      <c r="D74" t="s">
        <v>48</v>
      </c>
      <c r="E74" t="s">
        <v>148</v>
      </c>
      <c r="F74" t="s">
        <v>135</v>
      </c>
      <c r="G74" t="s">
        <v>37</v>
      </c>
      <c r="H74" t="s">
        <v>38</v>
      </c>
      <c r="I74" t="s">
        <v>158</v>
      </c>
      <c r="J74" t="s">
        <v>65</v>
      </c>
      <c r="K74" t="str">
        <f>_xlfn.CONCAT("k",J74,C74)</f>
        <v>k10|183|01|A4</v>
      </c>
      <c r="N74" s="1" t="s">
        <v>41</v>
      </c>
      <c r="Q74" s="1"/>
      <c r="R74" s="1"/>
      <c r="S74" s="1"/>
      <c r="Z74">
        <v>8.57</v>
      </c>
      <c r="AA74">
        <v>118.41</v>
      </c>
    </row>
    <row r="75" spans="1:41" x14ac:dyDescent="0.25">
      <c r="A75" t="s">
        <v>33</v>
      </c>
      <c r="B75" t="s">
        <v>146</v>
      </c>
      <c r="C75" t="s">
        <v>147</v>
      </c>
      <c r="D75" t="s">
        <v>48</v>
      </c>
      <c r="E75" t="s">
        <v>148</v>
      </c>
      <c r="F75" t="s">
        <v>135</v>
      </c>
      <c r="G75" t="s">
        <v>42</v>
      </c>
      <c r="H75" t="s">
        <v>38</v>
      </c>
      <c r="I75" t="s">
        <v>159</v>
      </c>
      <c r="J75" t="s">
        <v>67</v>
      </c>
      <c r="Q75" s="1"/>
      <c r="R75" s="1"/>
      <c r="S75" s="1"/>
    </row>
    <row r="76" spans="1:41" x14ac:dyDescent="0.25">
      <c r="A76" t="s">
        <v>33</v>
      </c>
      <c r="B76" t="s">
        <v>146</v>
      </c>
      <c r="C76" t="s">
        <v>147</v>
      </c>
      <c r="D76" t="s">
        <v>48</v>
      </c>
      <c r="E76" t="s">
        <v>148</v>
      </c>
      <c r="F76" t="s">
        <v>135</v>
      </c>
      <c r="G76" t="s">
        <v>45</v>
      </c>
      <c r="H76" t="s">
        <v>38</v>
      </c>
      <c r="I76" t="s">
        <v>160</v>
      </c>
      <c r="J76" t="s">
        <v>69</v>
      </c>
      <c r="Q76" s="1"/>
      <c r="R76" s="1"/>
      <c r="S76" s="1"/>
    </row>
    <row r="77" spans="1:41" x14ac:dyDescent="0.25">
      <c r="A77" t="s">
        <v>33</v>
      </c>
      <c r="B77" t="s">
        <v>146</v>
      </c>
      <c r="C77" t="s">
        <v>147</v>
      </c>
      <c r="D77" t="s">
        <v>48</v>
      </c>
      <c r="E77" t="s">
        <v>148</v>
      </c>
      <c r="F77" t="s">
        <v>137</v>
      </c>
      <c r="G77" t="s">
        <v>37</v>
      </c>
      <c r="H77" t="s">
        <v>38</v>
      </c>
      <c r="I77" t="s">
        <v>161</v>
      </c>
      <c r="J77" t="s">
        <v>72</v>
      </c>
      <c r="K77" t="str">
        <f>_xlfn.CONCAT("k",J77,C77)</f>
        <v>k13|183|01|A4</v>
      </c>
      <c r="N77" s="1" t="s">
        <v>41</v>
      </c>
      <c r="Q77" s="1"/>
      <c r="R77" s="1"/>
      <c r="S77" s="1"/>
      <c r="Z77">
        <v>2.68</v>
      </c>
      <c r="AA77">
        <v>172.59</v>
      </c>
    </row>
    <row r="78" spans="1:41" x14ac:dyDescent="0.25">
      <c r="A78" t="s">
        <v>33</v>
      </c>
      <c r="B78" t="s">
        <v>146</v>
      </c>
      <c r="C78" t="s">
        <v>147</v>
      </c>
      <c r="D78" t="s">
        <v>48</v>
      </c>
      <c r="E78" t="s">
        <v>148</v>
      </c>
      <c r="F78" t="s">
        <v>137</v>
      </c>
      <c r="G78" t="s">
        <v>42</v>
      </c>
      <c r="H78" t="s">
        <v>38</v>
      </c>
      <c r="I78" t="s">
        <v>162</v>
      </c>
      <c r="J78" t="s">
        <v>74</v>
      </c>
      <c r="Q78" s="1"/>
      <c r="R78" s="1"/>
      <c r="S78" s="1"/>
    </row>
    <row r="79" spans="1:41" x14ac:dyDescent="0.25">
      <c r="A79" t="s">
        <v>33</v>
      </c>
      <c r="B79" t="s">
        <v>146</v>
      </c>
      <c r="C79" t="s">
        <v>147</v>
      </c>
      <c r="D79" t="s">
        <v>48</v>
      </c>
      <c r="E79" t="s">
        <v>148</v>
      </c>
      <c r="F79" t="s">
        <v>137</v>
      </c>
      <c r="G79" t="s">
        <v>45</v>
      </c>
      <c r="H79" t="s">
        <v>38</v>
      </c>
      <c r="I79" t="s">
        <v>163</v>
      </c>
      <c r="J79" t="s">
        <v>76</v>
      </c>
      <c r="Q79" s="1"/>
      <c r="R79" s="1"/>
      <c r="S79" s="1"/>
    </row>
    <row r="80" spans="1:41" x14ac:dyDescent="0.25">
      <c r="A80" t="s">
        <v>33</v>
      </c>
      <c r="B80" t="s">
        <v>146</v>
      </c>
      <c r="C80" t="s">
        <v>147</v>
      </c>
      <c r="D80" t="s">
        <v>48</v>
      </c>
      <c r="E80" t="s">
        <v>148</v>
      </c>
      <c r="F80" t="s">
        <v>139</v>
      </c>
      <c r="G80" t="s">
        <v>37</v>
      </c>
      <c r="H80" t="s">
        <v>38</v>
      </c>
      <c r="I80" t="s">
        <v>164</v>
      </c>
      <c r="J80" t="s">
        <v>96</v>
      </c>
      <c r="K80" t="str">
        <f>_xlfn.CONCAT("k",J80,C80)</f>
        <v>k16|183|01|A4</v>
      </c>
      <c r="N80" s="1" t="s">
        <v>41</v>
      </c>
      <c r="Q80" s="1"/>
      <c r="R80" s="1"/>
      <c r="S80" s="1"/>
      <c r="Z80">
        <v>7.47</v>
      </c>
      <c r="AA80">
        <v>113.73</v>
      </c>
    </row>
    <row r="81" spans="1:41" x14ac:dyDescent="0.25">
      <c r="A81" t="s">
        <v>33</v>
      </c>
      <c r="B81" t="s">
        <v>146</v>
      </c>
      <c r="C81" t="s">
        <v>147</v>
      </c>
      <c r="D81" t="s">
        <v>48</v>
      </c>
      <c r="E81" t="s">
        <v>148</v>
      </c>
      <c r="F81" t="s">
        <v>139</v>
      </c>
      <c r="G81" t="s">
        <v>42</v>
      </c>
      <c r="H81" t="s">
        <v>38</v>
      </c>
      <c r="I81" t="s">
        <v>165</v>
      </c>
      <c r="J81" t="s">
        <v>98</v>
      </c>
      <c r="Q81" s="1"/>
      <c r="R81" s="1"/>
      <c r="S81" s="1"/>
    </row>
    <row r="82" spans="1:41" x14ac:dyDescent="0.25">
      <c r="A82" t="s">
        <v>33</v>
      </c>
      <c r="B82" t="s">
        <v>146</v>
      </c>
      <c r="C82" t="s">
        <v>147</v>
      </c>
      <c r="D82" t="s">
        <v>48</v>
      </c>
      <c r="E82" t="s">
        <v>148</v>
      </c>
      <c r="F82" t="s">
        <v>139</v>
      </c>
      <c r="G82" t="s">
        <v>45</v>
      </c>
      <c r="H82" t="s">
        <v>38</v>
      </c>
      <c r="I82" t="s">
        <v>166</v>
      </c>
      <c r="J82" t="s">
        <v>100</v>
      </c>
      <c r="Q82" s="1"/>
      <c r="R82" s="1"/>
      <c r="S82" s="1"/>
    </row>
    <row r="83" spans="1:41" x14ac:dyDescent="0.25">
      <c r="A83" t="s">
        <v>33</v>
      </c>
      <c r="B83" t="s">
        <v>146</v>
      </c>
      <c r="C83" t="s">
        <v>147</v>
      </c>
      <c r="D83" t="s">
        <v>48</v>
      </c>
      <c r="E83" t="s">
        <v>148</v>
      </c>
      <c r="F83" t="s">
        <v>141</v>
      </c>
      <c r="G83" t="s">
        <v>37</v>
      </c>
      <c r="H83" t="s">
        <v>38</v>
      </c>
      <c r="I83" t="s">
        <v>167</v>
      </c>
      <c r="J83" t="s">
        <v>123</v>
      </c>
      <c r="K83" t="str">
        <f>_xlfn.CONCAT("k",J83,C83)</f>
        <v>k19|183|01|A4</v>
      </c>
      <c r="N83" s="1" t="s">
        <v>41</v>
      </c>
      <c r="Q83" s="1"/>
      <c r="R83" s="1"/>
      <c r="S83" s="1"/>
      <c r="Z83">
        <v>5.82</v>
      </c>
      <c r="AA83">
        <v>118.81</v>
      </c>
    </row>
    <row r="84" spans="1:41" x14ac:dyDescent="0.25">
      <c r="A84" t="s">
        <v>33</v>
      </c>
      <c r="B84" t="s">
        <v>146</v>
      </c>
      <c r="C84" t="s">
        <v>147</v>
      </c>
      <c r="D84" t="s">
        <v>48</v>
      </c>
      <c r="E84" t="s">
        <v>148</v>
      </c>
      <c r="F84" t="s">
        <v>141</v>
      </c>
      <c r="G84" t="s">
        <v>42</v>
      </c>
      <c r="H84" t="s">
        <v>38</v>
      </c>
      <c r="I84" t="s">
        <v>168</v>
      </c>
      <c r="J84" t="s">
        <v>125</v>
      </c>
      <c r="Q84" s="1"/>
      <c r="R84" s="1"/>
      <c r="S84" s="1"/>
    </row>
    <row r="85" spans="1:41" x14ac:dyDescent="0.25">
      <c r="A85" t="s">
        <v>33</v>
      </c>
      <c r="B85" t="s">
        <v>146</v>
      </c>
      <c r="C85" t="s">
        <v>147</v>
      </c>
      <c r="D85" t="s">
        <v>48</v>
      </c>
      <c r="E85" t="s">
        <v>148</v>
      </c>
      <c r="F85" t="s">
        <v>141</v>
      </c>
      <c r="G85" t="s">
        <v>45</v>
      </c>
      <c r="H85" t="s">
        <v>38</v>
      </c>
      <c r="I85" t="s">
        <v>169</v>
      </c>
      <c r="J85" t="s">
        <v>127</v>
      </c>
      <c r="Q85" s="1"/>
      <c r="R85" s="1"/>
      <c r="S85" s="1"/>
    </row>
    <row r="86" spans="1:41" x14ac:dyDescent="0.25">
      <c r="A86" t="s">
        <v>33</v>
      </c>
      <c r="B86" t="s">
        <v>146</v>
      </c>
      <c r="C86" t="s">
        <v>147</v>
      </c>
      <c r="D86" t="s">
        <v>48</v>
      </c>
      <c r="E86" t="s">
        <v>148</v>
      </c>
      <c r="F86" t="s">
        <v>143</v>
      </c>
      <c r="G86" t="s">
        <v>37</v>
      </c>
      <c r="H86" t="s">
        <v>38</v>
      </c>
      <c r="I86" t="s">
        <v>170</v>
      </c>
      <c r="J86" t="s">
        <v>129</v>
      </c>
      <c r="K86" t="str">
        <f>_xlfn.CONCAT("k",J86,C86)</f>
        <v>k22|183|01|A4</v>
      </c>
      <c r="N86" s="1" t="s">
        <v>41</v>
      </c>
      <c r="Q86" s="1"/>
      <c r="R86" s="1"/>
      <c r="S86" s="1"/>
      <c r="Z86">
        <v>0.83</v>
      </c>
      <c r="AA86">
        <v>223.38</v>
      </c>
    </row>
    <row r="87" spans="1:41" x14ac:dyDescent="0.25">
      <c r="A87" t="s">
        <v>33</v>
      </c>
      <c r="B87" t="s">
        <v>146</v>
      </c>
      <c r="C87" t="s">
        <v>147</v>
      </c>
      <c r="D87" t="s">
        <v>48</v>
      </c>
      <c r="E87" t="s">
        <v>148</v>
      </c>
      <c r="F87" t="s">
        <v>143</v>
      </c>
      <c r="G87" t="s">
        <v>42</v>
      </c>
      <c r="H87" t="s">
        <v>38</v>
      </c>
      <c r="I87" t="s">
        <v>171</v>
      </c>
      <c r="J87" t="s">
        <v>131</v>
      </c>
      <c r="Q87" s="1"/>
      <c r="R87" s="1"/>
      <c r="S87" s="1"/>
    </row>
    <row r="88" spans="1:41" x14ac:dyDescent="0.25">
      <c r="A88" t="s">
        <v>33</v>
      </c>
      <c r="B88" t="s">
        <v>146</v>
      </c>
      <c r="C88" t="s">
        <v>147</v>
      </c>
      <c r="D88" t="s">
        <v>48</v>
      </c>
      <c r="E88" t="s">
        <v>148</v>
      </c>
      <c r="F88" t="s">
        <v>143</v>
      </c>
      <c r="G88" t="s">
        <v>45</v>
      </c>
      <c r="H88" t="s">
        <v>38</v>
      </c>
      <c r="I88" t="s">
        <v>172</v>
      </c>
      <c r="J88" t="s">
        <v>133</v>
      </c>
      <c r="Q88" s="1"/>
      <c r="R88" s="1"/>
      <c r="S88" s="1"/>
    </row>
    <row r="89" spans="1:41" x14ac:dyDescent="0.25">
      <c r="A89" t="s">
        <v>33</v>
      </c>
      <c r="B89" t="s">
        <v>146</v>
      </c>
      <c r="C89" t="s">
        <v>147</v>
      </c>
      <c r="D89" t="s">
        <v>48</v>
      </c>
      <c r="E89" t="s">
        <v>148</v>
      </c>
      <c r="F89" t="s">
        <v>145</v>
      </c>
      <c r="G89" t="s">
        <v>37</v>
      </c>
      <c r="H89" t="s">
        <v>38</v>
      </c>
      <c r="I89" t="s">
        <v>173</v>
      </c>
      <c r="J89" t="s">
        <v>135</v>
      </c>
      <c r="K89" t="str">
        <f>_xlfn.CONCAT("k",J89,C89)</f>
        <v>k25|183|01|A4</v>
      </c>
      <c r="N89" s="1" t="s">
        <v>41</v>
      </c>
      <c r="P89" s="1" t="s">
        <v>41</v>
      </c>
      <c r="Q89" s="1" t="s">
        <v>41</v>
      </c>
      <c r="R89" s="1" t="s">
        <v>41</v>
      </c>
      <c r="S89" s="1" t="s">
        <v>41</v>
      </c>
      <c r="T89" s="1" t="s">
        <v>41</v>
      </c>
      <c r="W89">
        <v>5.14</v>
      </c>
      <c r="X89">
        <v>3.79912510774242</v>
      </c>
      <c r="Y89">
        <v>6.1</v>
      </c>
      <c r="Z89">
        <v>2.56</v>
      </c>
      <c r="AA89">
        <v>170.52</v>
      </c>
      <c r="AB89">
        <v>0.434</v>
      </c>
      <c r="AC89">
        <v>4.72</v>
      </c>
      <c r="AD89">
        <v>1.7769999999999999</v>
      </c>
      <c r="AE89">
        <v>31.953993156980999</v>
      </c>
      <c r="AI89">
        <v>6.0000000000000001E-3</v>
      </c>
      <c r="AJ89">
        <v>0.5</v>
      </c>
      <c r="AK89">
        <v>9.18</v>
      </c>
      <c r="AL89">
        <v>9.76</v>
      </c>
      <c r="AM89">
        <v>24.59</v>
      </c>
      <c r="AN89">
        <v>3.17</v>
      </c>
      <c r="AO89">
        <v>46.93</v>
      </c>
    </row>
    <row r="90" spans="1:41" x14ac:dyDescent="0.25">
      <c r="A90" t="s">
        <v>33</v>
      </c>
      <c r="B90" t="s">
        <v>146</v>
      </c>
      <c r="C90" t="s">
        <v>147</v>
      </c>
      <c r="D90" t="s">
        <v>48</v>
      </c>
      <c r="E90" t="s">
        <v>148</v>
      </c>
      <c r="F90" t="s">
        <v>145</v>
      </c>
      <c r="G90" t="s">
        <v>42</v>
      </c>
      <c r="H90" t="s">
        <v>38</v>
      </c>
      <c r="I90" t="s">
        <v>174</v>
      </c>
      <c r="J90" t="s">
        <v>137</v>
      </c>
      <c r="Q90" s="1"/>
      <c r="R90" s="1"/>
      <c r="S90" s="1"/>
    </row>
    <row r="91" spans="1:41" x14ac:dyDescent="0.25">
      <c r="A91" t="s">
        <v>33</v>
      </c>
      <c r="B91" t="s">
        <v>146</v>
      </c>
      <c r="C91" t="s">
        <v>147</v>
      </c>
      <c r="D91" t="s">
        <v>48</v>
      </c>
      <c r="E91" t="s">
        <v>148</v>
      </c>
      <c r="F91" t="s">
        <v>145</v>
      </c>
      <c r="G91" t="s">
        <v>45</v>
      </c>
      <c r="H91" t="s">
        <v>38</v>
      </c>
      <c r="I91" t="s">
        <v>175</v>
      </c>
      <c r="J91" t="s">
        <v>139</v>
      </c>
      <c r="P91" s="1" t="s">
        <v>41</v>
      </c>
      <c r="Q91" s="1" t="s">
        <v>41</v>
      </c>
      <c r="R91" s="1" t="s">
        <v>41</v>
      </c>
      <c r="S91" s="1" t="s">
        <v>41</v>
      </c>
      <c r="W91">
        <v>4.83</v>
      </c>
      <c r="X91">
        <v>4.89228172662511</v>
      </c>
      <c r="Y91">
        <v>5.86</v>
      </c>
      <c r="AB91">
        <v>0.18</v>
      </c>
      <c r="AC91">
        <v>3.847</v>
      </c>
      <c r="AD91">
        <v>1.339</v>
      </c>
      <c r="AI91">
        <v>3.1E-2</v>
      </c>
      <c r="AJ91">
        <v>0.33</v>
      </c>
      <c r="AK91">
        <v>11.41</v>
      </c>
      <c r="AL91">
        <v>11.1</v>
      </c>
      <c r="AM91">
        <v>21.29</v>
      </c>
      <c r="AN91">
        <v>1.5</v>
      </c>
      <c r="AO91">
        <v>62.48</v>
      </c>
    </row>
    <row r="92" spans="1:41" x14ac:dyDescent="0.25">
      <c r="A92" t="s">
        <v>33</v>
      </c>
      <c r="B92" t="s">
        <v>146</v>
      </c>
      <c r="C92" t="s">
        <v>147</v>
      </c>
      <c r="D92" t="s">
        <v>48</v>
      </c>
      <c r="E92" t="s">
        <v>148</v>
      </c>
      <c r="F92" t="s">
        <v>176</v>
      </c>
      <c r="G92" t="s">
        <v>37</v>
      </c>
      <c r="H92" t="s">
        <v>38</v>
      </c>
      <c r="I92" t="s">
        <v>177</v>
      </c>
      <c r="J92" t="s">
        <v>141</v>
      </c>
      <c r="K92" t="str">
        <f>_xlfn.CONCAT("k",J92,C92)</f>
        <v>k28|183|01|A4</v>
      </c>
      <c r="N92" s="1" t="s">
        <v>41</v>
      </c>
      <c r="Q92" s="1"/>
      <c r="R92" s="1"/>
      <c r="S92" s="1"/>
      <c r="Z92">
        <v>7.73</v>
      </c>
      <c r="AA92">
        <v>198.37</v>
      </c>
    </row>
    <row r="93" spans="1:41" x14ac:dyDescent="0.25">
      <c r="A93" t="s">
        <v>33</v>
      </c>
      <c r="B93" t="s">
        <v>146</v>
      </c>
      <c r="C93" t="s">
        <v>147</v>
      </c>
      <c r="D93" t="s">
        <v>48</v>
      </c>
      <c r="E93" t="s">
        <v>148</v>
      </c>
      <c r="F93" t="s">
        <v>176</v>
      </c>
      <c r="G93" t="s">
        <v>42</v>
      </c>
      <c r="H93" t="s">
        <v>38</v>
      </c>
      <c r="I93" t="s">
        <v>178</v>
      </c>
      <c r="J93" t="s">
        <v>143</v>
      </c>
      <c r="Q93" s="1"/>
      <c r="R93" s="1"/>
      <c r="S93" s="1"/>
    </row>
    <row r="94" spans="1:41" x14ac:dyDescent="0.25">
      <c r="A94" t="s">
        <v>33</v>
      </c>
      <c r="B94" t="s">
        <v>146</v>
      </c>
      <c r="C94" t="s">
        <v>147</v>
      </c>
      <c r="D94" t="s">
        <v>48</v>
      </c>
      <c r="E94" t="s">
        <v>148</v>
      </c>
      <c r="F94" t="s">
        <v>176</v>
      </c>
      <c r="G94" t="s">
        <v>45</v>
      </c>
      <c r="H94" t="s">
        <v>38</v>
      </c>
      <c r="I94" t="s">
        <v>179</v>
      </c>
      <c r="J94" t="s">
        <v>145</v>
      </c>
      <c r="Q94" s="1"/>
      <c r="R94" s="1"/>
      <c r="S94" s="1"/>
    </row>
    <row r="95" spans="1:41" x14ac:dyDescent="0.25">
      <c r="A95" t="s">
        <v>33</v>
      </c>
      <c r="B95" t="s">
        <v>146</v>
      </c>
      <c r="C95" t="s">
        <v>147</v>
      </c>
      <c r="D95" t="s">
        <v>48</v>
      </c>
      <c r="E95" t="s">
        <v>148</v>
      </c>
      <c r="F95" t="s">
        <v>180</v>
      </c>
      <c r="G95" t="s">
        <v>37</v>
      </c>
      <c r="H95" t="s">
        <v>38</v>
      </c>
      <c r="I95" t="s">
        <v>181</v>
      </c>
      <c r="J95" t="s">
        <v>176</v>
      </c>
      <c r="K95" t="str">
        <f>_xlfn.CONCAT("k",J95,C95)</f>
        <v>k31|183|01|A4</v>
      </c>
      <c r="N95" s="1" t="s">
        <v>41</v>
      </c>
      <c r="Q95" s="1"/>
      <c r="R95" s="1"/>
      <c r="S95" s="1"/>
      <c r="Z95">
        <v>6.85</v>
      </c>
      <c r="AA95">
        <v>255.94</v>
      </c>
    </row>
    <row r="96" spans="1:41" x14ac:dyDescent="0.25">
      <c r="A96" t="s">
        <v>33</v>
      </c>
      <c r="B96" t="s">
        <v>146</v>
      </c>
      <c r="C96" t="s">
        <v>147</v>
      </c>
      <c r="D96" t="s">
        <v>48</v>
      </c>
      <c r="E96" t="s">
        <v>148</v>
      </c>
      <c r="F96" t="s">
        <v>180</v>
      </c>
      <c r="G96" t="s">
        <v>42</v>
      </c>
      <c r="H96" t="s">
        <v>38</v>
      </c>
      <c r="I96" t="s">
        <v>182</v>
      </c>
      <c r="J96" t="s">
        <v>180</v>
      </c>
      <c r="Q96" s="1"/>
      <c r="R96" s="1"/>
      <c r="S96" s="1"/>
    </row>
    <row r="97" spans="1:27" x14ac:dyDescent="0.25">
      <c r="A97" t="s">
        <v>33</v>
      </c>
      <c r="B97" t="s">
        <v>146</v>
      </c>
      <c r="C97" t="s">
        <v>147</v>
      </c>
      <c r="D97" t="s">
        <v>48</v>
      </c>
      <c r="E97" t="s">
        <v>148</v>
      </c>
      <c r="F97" t="s">
        <v>180</v>
      </c>
      <c r="G97" t="s">
        <v>45</v>
      </c>
      <c r="H97" t="s">
        <v>38</v>
      </c>
      <c r="I97" t="s">
        <v>183</v>
      </c>
      <c r="J97" t="s">
        <v>184</v>
      </c>
      <c r="Q97" s="1"/>
      <c r="R97" s="1"/>
      <c r="S97" s="1"/>
    </row>
    <row r="98" spans="1:27" x14ac:dyDescent="0.25">
      <c r="A98" t="s">
        <v>33</v>
      </c>
      <c r="B98" t="s">
        <v>146</v>
      </c>
      <c r="C98" t="s">
        <v>147</v>
      </c>
      <c r="D98" t="s">
        <v>48</v>
      </c>
      <c r="E98" t="s">
        <v>148</v>
      </c>
      <c r="F98" t="s">
        <v>184</v>
      </c>
      <c r="G98" t="s">
        <v>37</v>
      </c>
      <c r="H98" t="s">
        <v>38</v>
      </c>
      <c r="I98" t="s">
        <v>185</v>
      </c>
      <c r="J98" t="s">
        <v>186</v>
      </c>
      <c r="K98" t="str">
        <f>_xlfn.CONCAT("k",J98,C98)</f>
        <v>k34|183|01|A4</v>
      </c>
      <c r="N98" s="1" t="s">
        <v>41</v>
      </c>
      <c r="Q98" s="1"/>
      <c r="R98" s="1"/>
      <c r="S98" s="1"/>
      <c r="Z98">
        <v>1.07</v>
      </c>
      <c r="AA98">
        <v>225.13</v>
      </c>
    </row>
    <row r="99" spans="1:27" x14ac:dyDescent="0.25">
      <c r="A99" t="s">
        <v>33</v>
      </c>
      <c r="B99" t="s">
        <v>146</v>
      </c>
      <c r="C99" t="s">
        <v>147</v>
      </c>
      <c r="D99" t="s">
        <v>48</v>
      </c>
      <c r="E99" t="s">
        <v>148</v>
      </c>
      <c r="F99" t="s">
        <v>184</v>
      </c>
      <c r="G99" t="s">
        <v>42</v>
      </c>
      <c r="H99" t="s">
        <v>38</v>
      </c>
      <c r="I99" t="s">
        <v>187</v>
      </c>
      <c r="J99" t="s">
        <v>188</v>
      </c>
      <c r="Q99" s="1"/>
      <c r="R99" s="1"/>
      <c r="S99" s="1"/>
    </row>
    <row r="100" spans="1:27" x14ac:dyDescent="0.25">
      <c r="A100" t="s">
        <v>33</v>
      </c>
      <c r="B100" t="s">
        <v>146</v>
      </c>
      <c r="C100" t="s">
        <v>147</v>
      </c>
      <c r="D100" t="s">
        <v>48</v>
      </c>
      <c r="E100" t="s">
        <v>148</v>
      </c>
      <c r="F100" t="s">
        <v>184</v>
      </c>
      <c r="G100" t="s">
        <v>45</v>
      </c>
      <c r="H100" t="s">
        <v>38</v>
      </c>
      <c r="I100" t="s">
        <v>189</v>
      </c>
      <c r="J100" t="s">
        <v>190</v>
      </c>
      <c r="Q100" s="1"/>
      <c r="R100" s="1"/>
      <c r="S100" s="1"/>
    </row>
    <row r="101" spans="1:27" x14ac:dyDescent="0.25">
      <c r="A101" t="s">
        <v>33</v>
      </c>
      <c r="B101" t="s">
        <v>146</v>
      </c>
      <c r="C101" t="s">
        <v>147</v>
      </c>
      <c r="D101" t="s">
        <v>33</v>
      </c>
      <c r="E101" t="s">
        <v>148</v>
      </c>
      <c r="F101" t="s">
        <v>186</v>
      </c>
      <c r="G101" t="s">
        <v>37</v>
      </c>
      <c r="H101" t="s">
        <v>38</v>
      </c>
      <c r="I101" t="s">
        <v>191</v>
      </c>
      <c r="J101" t="s">
        <v>192</v>
      </c>
      <c r="K101" t="str">
        <f>_xlfn.CONCAT("k",J101,C101)</f>
        <v>k37|183|01|A4</v>
      </c>
      <c r="N101" s="1" t="s">
        <v>41</v>
      </c>
      <c r="Q101" s="1"/>
      <c r="R101" s="1"/>
      <c r="S101" s="1"/>
      <c r="Z101">
        <v>5.19</v>
      </c>
      <c r="AA101">
        <v>104.33</v>
      </c>
    </row>
    <row r="102" spans="1:27" x14ac:dyDescent="0.25">
      <c r="A102" t="s">
        <v>33</v>
      </c>
      <c r="B102" t="s">
        <v>146</v>
      </c>
      <c r="C102" t="s">
        <v>147</v>
      </c>
      <c r="D102" t="s">
        <v>33</v>
      </c>
      <c r="E102" t="s">
        <v>148</v>
      </c>
      <c r="F102" t="s">
        <v>186</v>
      </c>
      <c r="G102" t="s">
        <v>42</v>
      </c>
      <c r="H102" t="s">
        <v>38</v>
      </c>
      <c r="I102" t="s">
        <v>193</v>
      </c>
      <c r="J102" t="s">
        <v>194</v>
      </c>
      <c r="Q102" s="1"/>
      <c r="R102" s="1"/>
      <c r="S102" s="1"/>
    </row>
    <row r="103" spans="1:27" x14ac:dyDescent="0.25">
      <c r="A103" t="s">
        <v>33</v>
      </c>
      <c r="B103" t="s">
        <v>146</v>
      </c>
      <c r="C103" t="s">
        <v>147</v>
      </c>
      <c r="D103" t="s">
        <v>33</v>
      </c>
      <c r="E103" t="s">
        <v>148</v>
      </c>
      <c r="F103" t="s">
        <v>186</v>
      </c>
      <c r="G103" t="s">
        <v>45</v>
      </c>
      <c r="H103" t="s">
        <v>38</v>
      </c>
      <c r="I103" t="s">
        <v>195</v>
      </c>
      <c r="J103" t="s">
        <v>196</v>
      </c>
      <c r="Q103" s="1"/>
      <c r="R103" s="1"/>
      <c r="S103" s="1"/>
    </row>
    <row r="104" spans="1:27" x14ac:dyDescent="0.25">
      <c r="A104" t="s">
        <v>33</v>
      </c>
      <c r="B104" t="s">
        <v>146</v>
      </c>
      <c r="C104" t="s">
        <v>147</v>
      </c>
      <c r="D104" t="s">
        <v>48</v>
      </c>
      <c r="E104" t="s">
        <v>148</v>
      </c>
      <c r="F104" t="s">
        <v>188</v>
      </c>
      <c r="G104" t="s">
        <v>37</v>
      </c>
      <c r="H104" t="s">
        <v>38</v>
      </c>
      <c r="I104" t="s">
        <v>197</v>
      </c>
      <c r="J104" t="s">
        <v>198</v>
      </c>
      <c r="K104" t="str">
        <f>_xlfn.CONCAT("k",J104,C104)</f>
        <v>k40|183|01|A4</v>
      </c>
      <c r="N104" s="1" t="s">
        <v>41</v>
      </c>
      <c r="Q104" s="1"/>
      <c r="R104" s="1"/>
      <c r="S104" s="1"/>
      <c r="Z104">
        <v>4.3</v>
      </c>
      <c r="AA104">
        <v>87.21</v>
      </c>
    </row>
    <row r="105" spans="1:27" x14ac:dyDescent="0.25">
      <c r="A105" t="s">
        <v>33</v>
      </c>
      <c r="B105" t="s">
        <v>146</v>
      </c>
      <c r="C105" t="s">
        <v>147</v>
      </c>
      <c r="D105" t="s">
        <v>48</v>
      </c>
      <c r="E105" t="s">
        <v>148</v>
      </c>
      <c r="F105" t="s">
        <v>188</v>
      </c>
      <c r="G105" t="s">
        <v>42</v>
      </c>
      <c r="H105" t="s">
        <v>38</v>
      </c>
      <c r="I105" t="s">
        <v>199</v>
      </c>
      <c r="J105" t="s">
        <v>200</v>
      </c>
      <c r="Q105" s="1"/>
      <c r="R105" s="1"/>
      <c r="S105" s="1"/>
    </row>
    <row r="106" spans="1:27" x14ac:dyDescent="0.25">
      <c r="A106" t="s">
        <v>33</v>
      </c>
      <c r="B106" t="s">
        <v>146</v>
      </c>
      <c r="C106" t="s">
        <v>147</v>
      </c>
      <c r="D106" t="s">
        <v>48</v>
      </c>
      <c r="E106" t="s">
        <v>148</v>
      </c>
      <c r="F106" t="s">
        <v>188</v>
      </c>
      <c r="G106" t="s">
        <v>45</v>
      </c>
      <c r="H106" t="s">
        <v>38</v>
      </c>
      <c r="I106" t="s">
        <v>201</v>
      </c>
      <c r="J106" t="s">
        <v>202</v>
      </c>
      <c r="Q106" s="1"/>
      <c r="R106" s="1"/>
      <c r="S106" s="1"/>
    </row>
    <row r="107" spans="1:27" x14ac:dyDescent="0.25">
      <c r="A107" t="s">
        <v>33</v>
      </c>
      <c r="B107" t="s">
        <v>146</v>
      </c>
      <c r="C107" t="s">
        <v>147</v>
      </c>
      <c r="D107" t="s">
        <v>48</v>
      </c>
      <c r="E107" t="s">
        <v>148</v>
      </c>
      <c r="F107" t="s">
        <v>190</v>
      </c>
      <c r="G107" t="s">
        <v>37</v>
      </c>
      <c r="H107" t="s">
        <v>38</v>
      </c>
      <c r="I107" t="s">
        <v>203</v>
      </c>
      <c r="J107" t="s">
        <v>204</v>
      </c>
      <c r="K107" t="str">
        <f>_xlfn.CONCAT("k",J107,C107)</f>
        <v>k43|183|01|A4</v>
      </c>
      <c r="N107" s="1" t="s">
        <v>41</v>
      </c>
      <c r="Q107" s="1"/>
      <c r="R107" s="1"/>
      <c r="S107" s="1"/>
      <c r="Z107">
        <v>8.43</v>
      </c>
      <c r="AA107">
        <v>104.66</v>
      </c>
    </row>
    <row r="108" spans="1:27" x14ac:dyDescent="0.25">
      <c r="A108" t="s">
        <v>33</v>
      </c>
      <c r="B108" t="s">
        <v>146</v>
      </c>
      <c r="C108" t="s">
        <v>147</v>
      </c>
      <c r="D108" t="s">
        <v>48</v>
      </c>
      <c r="E108" t="s">
        <v>148</v>
      </c>
      <c r="F108" t="s">
        <v>190</v>
      </c>
      <c r="G108" t="s">
        <v>42</v>
      </c>
      <c r="H108" t="s">
        <v>38</v>
      </c>
      <c r="I108" t="s">
        <v>205</v>
      </c>
      <c r="J108" t="s">
        <v>206</v>
      </c>
      <c r="Q108" s="1"/>
      <c r="R108" s="1"/>
      <c r="S108" s="1"/>
    </row>
    <row r="109" spans="1:27" x14ac:dyDescent="0.25">
      <c r="A109" t="s">
        <v>33</v>
      </c>
      <c r="B109" t="s">
        <v>146</v>
      </c>
      <c r="C109" t="s">
        <v>147</v>
      </c>
      <c r="D109" t="s">
        <v>48</v>
      </c>
      <c r="E109" t="s">
        <v>148</v>
      </c>
      <c r="F109" t="s">
        <v>190</v>
      </c>
      <c r="G109" t="s">
        <v>45</v>
      </c>
      <c r="H109" t="s">
        <v>38</v>
      </c>
      <c r="I109" t="s">
        <v>207</v>
      </c>
      <c r="J109" t="s">
        <v>208</v>
      </c>
      <c r="Q109" s="1"/>
      <c r="R109" s="1"/>
      <c r="S109" s="1"/>
    </row>
    <row r="110" spans="1:27" x14ac:dyDescent="0.25">
      <c r="A110" t="s">
        <v>33</v>
      </c>
      <c r="B110" t="s">
        <v>146</v>
      </c>
      <c r="C110" t="s">
        <v>147</v>
      </c>
      <c r="D110" t="s">
        <v>48</v>
      </c>
      <c r="E110" t="s">
        <v>148</v>
      </c>
      <c r="F110" t="s">
        <v>192</v>
      </c>
      <c r="G110" t="s">
        <v>37</v>
      </c>
      <c r="H110" t="s">
        <v>38</v>
      </c>
      <c r="I110" t="s">
        <v>209</v>
      </c>
      <c r="J110" t="s">
        <v>210</v>
      </c>
      <c r="K110" t="str">
        <f>_xlfn.CONCAT("k",J110,C110)</f>
        <v>k46|183|01|A4</v>
      </c>
      <c r="N110" s="1" t="s">
        <v>41</v>
      </c>
      <c r="Q110" s="1"/>
      <c r="R110" s="1"/>
      <c r="S110" s="1"/>
      <c r="Z110">
        <v>6.98</v>
      </c>
      <c r="AA110">
        <v>91.23</v>
      </c>
    </row>
    <row r="111" spans="1:27" x14ac:dyDescent="0.25">
      <c r="A111" t="s">
        <v>33</v>
      </c>
      <c r="B111" t="s">
        <v>146</v>
      </c>
      <c r="C111" t="s">
        <v>147</v>
      </c>
      <c r="D111" t="s">
        <v>48</v>
      </c>
      <c r="E111" t="s">
        <v>148</v>
      </c>
      <c r="F111" t="s">
        <v>192</v>
      </c>
      <c r="G111" t="s">
        <v>42</v>
      </c>
      <c r="H111" t="s">
        <v>38</v>
      </c>
      <c r="I111" t="s">
        <v>211</v>
      </c>
      <c r="J111" t="s">
        <v>212</v>
      </c>
      <c r="Q111" s="1"/>
      <c r="R111" s="1"/>
      <c r="S111" s="1"/>
    </row>
    <row r="112" spans="1:27" x14ac:dyDescent="0.25">
      <c r="A112" t="s">
        <v>33</v>
      </c>
      <c r="B112" t="s">
        <v>146</v>
      </c>
      <c r="C112" t="s">
        <v>147</v>
      </c>
      <c r="D112" t="s">
        <v>48</v>
      </c>
      <c r="E112" t="s">
        <v>148</v>
      </c>
      <c r="F112" t="s">
        <v>192</v>
      </c>
      <c r="G112" t="s">
        <v>45</v>
      </c>
      <c r="H112" t="s">
        <v>38</v>
      </c>
      <c r="I112" t="s">
        <v>213</v>
      </c>
      <c r="J112" t="s">
        <v>214</v>
      </c>
      <c r="Q112" s="1"/>
      <c r="R112" s="1"/>
      <c r="S112" s="1"/>
    </row>
    <row r="113" spans="1:41" x14ac:dyDescent="0.25">
      <c r="A113" t="s">
        <v>33</v>
      </c>
      <c r="B113" t="s">
        <v>215</v>
      </c>
      <c r="C113" t="s">
        <v>216</v>
      </c>
      <c r="D113" t="s">
        <v>48</v>
      </c>
      <c r="E113" t="s">
        <v>217</v>
      </c>
      <c r="F113" t="s">
        <v>194</v>
      </c>
      <c r="G113" t="s">
        <v>37</v>
      </c>
      <c r="H113" t="s">
        <v>38</v>
      </c>
      <c r="I113" t="s">
        <v>218</v>
      </c>
      <c r="J113" t="s">
        <v>40</v>
      </c>
      <c r="K113" t="str">
        <f>_xlfn.CONCAT("k",J113,C113)</f>
        <v>k01|183|01|A5</v>
      </c>
      <c r="N113" s="1" t="s">
        <v>41</v>
      </c>
      <c r="P113" s="1" t="s">
        <v>41</v>
      </c>
      <c r="Q113" s="1" t="s">
        <v>41</v>
      </c>
      <c r="R113" s="1" t="s">
        <v>41</v>
      </c>
      <c r="S113" s="1" t="s">
        <v>41</v>
      </c>
      <c r="T113" s="1" t="s">
        <v>41</v>
      </c>
      <c r="W113">
        <v>4.49</v>
      </c>
      <c r="X113">
        <v>5.8520252939303301</v>
      </c>
      <c r="Y113">
        <v>5.69</v>
      </c>
      <c r="Z113">
        <v>1.75</v>
      </c>
      <c r="AA113">
        <v>70.12</v>
      </c>
      <c r="AB113">
        <v>0.156</v>
      </c>
      <c r="AC113">
        <v>3.7629999999999999</v>
      </c>
      <c r="AD113">
        <v>1.375</v>
      </c>
      <c r="AE113">
        <v>27.9443730179492</v>
      </c>
      <c r="AI113">
        <v>0.13900000000000001</v>
      </c>
      <c r="AJ113">
        <v>0.25</v>
      </c>
      <c r="AK113">
        <v>4.8</v>
      </c>
      <c r="AL113">
        <v>13.13</v>
      </c>
      <c r="AM113">
        <v>17.98</v>
      </c>
      <c r="AN113">
        <v>1.7</v>
      </c>
      <c r="AO113">
        <v>29.4</v>
      </c>
    </row>
    <row r="114" spans="1:41" x14ac:dyDescent="0.25">
      <c r="A114" t="s">
        <v>33</v>
      </c>
      <c r="B114" t="s">
        <v>215</v>
      </c>
      <c r="C114" t="s">
        <v>216</v>
      </c>
      <c r="D114" t="s">
        <v>48</v>
      </c>
      <c r="E114" t="s">
        <v>217</v>
      </c>
      <c r="F114" t="s">
        <v>194</v>
      </c>
      <c r="G114" t="s">
        <v>42</v>
      </c>
      <c r="H114" t="s">
        <v>38</v>
      </c>
      <c r="I114" t="s">
        <v>219</v>
      </c>
      <c r="J114" t="s">
        <v>44</v>
      </c>
      <c r="Q114" s="1"/>
      <c r="R114" s="1"/>
      <c r="S114" s="1"/>
    </row>
    <row r="115" spans="1:41" x14ac:dyDescent="0.25">
      <c r="A115" t="s">
        <v>33</v>
      </c>
      <c r="B115" t="s">
        <v>215</v>
      </c>
      <c r="C115" t="s">
        <v>216</v>
      </c>
      <c r="D115" t="s">
        <v>48</v>
      </c>
      <c r="E115" t="s">
        <v>217</v>
      </c>
      <c r="F115" t="s">
        <v>194</v>
      </c>
      <c r="G115" t="s">
        <v>45</v>
      </c>
      <c r="H115" t="s">
        <v>38</v>
      </c>
      <c r="I115" t="s">
        <v>220</v>
      </c>
      <c r="J115" t="s">
        <v>47</v>
      </c>
      <c r="K115" t="str">
        <f>_xlfn.CONCAT("k",J115,C115)</f>
        <v>k03|183|01|A5</v>
      </c>
      <c r="N115" s="1" t="s">
        <v>41</v>
      </c>
      <c r="P115" s="1" t="s">
        <v>41</v>
      </c>
      <c r="Q115" s="1" t="s">
        <v>41</v>
      </c>
      <c r="R115" s="1" t="s">
        <v>41</v>
      </c>
      <c r="S115" s="1" t="s">
        <v>41</v>
      </c>
      <c r="W115">
        <v>5.25</v>
      </c>
      <c r="X115">
        <v>2.95022903234061</v>
      </c>
      <c r="Y115">
        <v>6.34</v>
      </c>
      <c r="Z115">
        <v>0.39</v>
      </c>
      <c r="AA115">
        <v>32.42</v>
      </c>
      <c r="AB115">
        <v>5.7000000000000002E-2</v>
      </c>
      <c r="AC115">
        <v>3.8079999999999998</v>
      </c>
      <c r="AD115">
        <v>1.073</v>
      </c>
      <c r="AI115">
        <v>6.0000000000000001E-3</v>
      </c>
      <c r="AJ115">
        <v>0.19</v>
      </c>
      <c r="AK115">
        <v>6.01</v>
      </c>
      <c r="AL115">
        <v>8.6999999999999993</v>
      </c>
      <c r="AM115">
        <v>3.9</v>
      </c>
      <c r="AN115">
        <v>0.32</v>
      </c>
      <c r="AO115">
        <v>38.82</v>
      </c>
    </row>
    <row r="116" spans="1:41" x14ac:dyDescent="0.25">
      <c r="A116" t="s">
        <v>33</v>
      </c>
      <c r="B116" t="s">
        <v>215</v>
      </c>
      <c r="C116" t="s">
        <v>216</v>
      </c>
      <c r="D116" t="s">
        <v>48</v>
      </c>
      <c r="E116" t="s">
        <v>217</v>
      </c>
      <c r="F116" t="s">
        <v>196</v>
      </c>
      <c r="G116" t="s">
        <v>37</v>
      </c>
      <c r="H116" t="s">
        <v>38</v>
      </c>
      <c r="I116" t="s">
        <v>221</v>
      </c>
      <c r="J116" t="s">
        <v>51</v>
      </c>
      <c r="K116" t="str">
        <f>_xlfn.CONCAT("k",J116,C116)</f>
        <v>k04|183|01|A5</v>
      </c>
      <c r="N116" s="1" t="s">
        <v>41</v>
      </c>
      <c r="Q116" s="1"/>
      <c r="R116" s="1"/>
      <c r="S116" s="1"/>
      <c r="U116" t="s">
        <v>41</v>
      </c>
      <c r="Z116">
        <v>9.91</v>
      </c>
      <c r="AA116">
        <v>104.29</v>
      </c>
      <c r="AF116" s="3">
        <v>222</v>
      </c>
      <c r="AG116" s="3">
        <v>492</v>
      </c>
      <c r="AH116" s="3">
        <v>286</v>
      </c>
    </row>
    <row r="117" spans="1:41" x14ac:dyDescent="0.25">
      <c r="A117" t="s">
        <v>33</v>
      </c>
      <c r="B117" t="s">
        <v>215</v>
      </c>
      <c r="C117" t="s">
        <v>216</v>
      </c>
      <c r="D117" t="s">
        <v>48</v>
      </c>
      <c r="E117" t="s">
        <v>217</v>
      </c>
      <c r="F117" t="s">
        <v>196</v>
      </c>
      <c r="G117" t="s">
        <v>42</v>
      </c>
      <c r="H117" t="s">
        <v>38</v>
      </c>
      <c r="I117" t="s">
        <v>222</v>
      </c>
      <c r="J117" t="s">
        <v>53</v>
      </c>
      <c r="Q117" s="1"/>
      <c r="R117" s="1"/>
      <c r="S117" s="1"/>
    </row>
    <row r="118" spans="1:41" x14ac:dyDescent="0.25">
      <c r="A118" t="s">
        <v>33</v>
      </c>
      <c r="B118" t="s">
        <v>215</v>
      </c>
      <c r="C118" t="s">
        <v>216</v>
      </c>
      <c r="D118" t="s">
        <v>48</v>
      </c>
      <c r="E118" t="s">
        <v>217</v>
      </c>
      <c r="F118" t="s">
        <v>196</v>
      </c>
      <c r="G118" t="s">
        <v>45</v>
      </c>
      <c r="H118" t="s">
        <v>38</v>
      </c>
      <c r="I118" t="s">
        <v>223</v>
      </c>
      <c r="J118" t="s">
        <v>55</v>
      </c>
      <c r="Q118" s="1"/>
      <c r="R118" s="1"/>
      <c r="S118" s="1"/>
    </row>
    <row r="119" spans="1:41" x14ac:dyDescent="0.25">
      <c r="A119" t="s">
        <v>33</v>
      </c>
      <c r="B119" t="s">
        <v>215</v>
      </c>
      <c r="C119" t="s">
        <v>216</v>
      </c>
      <c r="D119" t="s">
        <v>33</v>
      </c>
      <c r="E119" t="s">
        <v>217</v>
      </c>
      <c r="F119" t="s">
        <v>198</v>
      </c>
      <c r="G119" t="s">
        <v>37</v>
      </c>
      <c r="H119" t="s">
        <v>38</v>
      </c>
      <c r="I119" t="s">
        <v>224</v>
      </c>
      <c r="J119" t="s">
        <v>58</v>
      </c>
      <c r="K119" t="str">
        <f>_xlfn.CONCAT("k",J119,C119)</f>
        <v>k07|183|01|A5</v>
      </c>
      <c r="N119" s="1" t="s">
        <v>41</v>
      </c>
      <c r="Q119" s="1"/>
      <c r="R119" s="1"/>
      <c r="S119" s="1"/>
      <c r="Z119">
        <v>11.37</v>
      </c>
      <c r="AA119">
        <v>110.93</v>
      </c>
    </row>
    <row r="120" spans="1:41" x14ac:dyDescent="0.25">
      <c r="A120" t="s">
        <v>33</v>
      </c>
      <c r="B120" t="s">
        <v>215</v>
      </c>
      <c r="C120" t="s">
        <v>216</v>
      </c>
      <c r="D120" t="s">
        <v>33</v>
      </c>
      <c r="E120" t="s">
        <v>217</v>
      </c>
      <c r="F120" t="s">
        <v>198</v>
      </c>
      <c r="G120" t="s">
        <v>42</v>
      </c>
      <c r="H120" t="s">
        <v>38</v>
      </c>
      <c r="I120" t="s">
        <v>225</v>
      </c>
      <c r="J120" t="s">
        <v>60</v>
      </c>
      <c r="Q120" s="1"/>
      <c r="R120" s="1"/>
      <c r="S120" s="1"/>
    </row>
    <row r="121" spans="1:41" x14ac:dyDescent="0.25">
      <c r="A121" t="s">
        <v>33</v>
      </c>
      <c r="B121" t="s">
        <v>215</v>
      </c>
      <c r="C121" t="s">
        <v>216</v>
      </c>
      <c r="D121" t="s">
        <v>33</v>
      </c>
      <c r="E121" t="s">
        <v>217</v>
      </c>
      <c r="F121" t="s">
        <v>198</v>
      </c>
      <c r="G121" t="s">
        <v>45</v>
      </c>
      <c r="H121" t="s">
        <v>38</v>
      </c>
      <c r="I121" t="s">
        <v>226</v>
      </c>
      <c r="J121" t="s">
        <v>62</v>
      </c>
      <c r="Q121" s="1"/>
      <c r="R121" s="1"/>
      <c r="S121" s="1"/>
    </row>
    <row r="122" spans="1:41" x14ac:dyDescent="0.25">
      <c r="A122" t="s">
        <v>33</v>
      </c>
      <c r="B122" t="s">
        <v>215</v>
      </c>
      <c r="C122" t="s">
        <v>216</v>
      </c>
      <c r="D122" t="s">
        <v>48</v>
      </c>
      <c r="E122" t="s">
        <v>217</v>
      </c>
      <c r="F122" t="s">
        <v>200</v>
      </c>
      <c r="G122" t="s">
        <v>37</v>
      </c>
      <c r="H122" t="s">
        <v>38</v>
      </c>
      <c r="I122" t="s">
        <v>227</v>
      </c>
      <c r="J122" t="s">
        <v>65</v>
      </c>
      <c r="K122" t="str">
        <f>_xlfn.CONCAT("k",J122,C122)</f>
        <v>k10|183|01|A5</v>
      </c>
      <c r="N122" s="1" t="s">
        <v>41</v>
      </c>
      <c r="Q122" s="1"/>
      <c r="R122" s="1"/>
      <c r="S122" s="1"/>
      <c r="Z122">
        <v>31.86</v>
      </c>
      <c r="AA122">
        <v>71.86</v>
      </c>
    </row>
    <row r="123" spans="1:41" x14ac:dyDescent="0.25">
      <c r="A123" t="s">
        <v>33</v>
      </c>
      <c r="B123" t="s">
        <v>215</v>
      </c>
      <c r="C123" t="s">
        <v>216</v>
      </c>
      <c r="D123" t="s">
        <v>48</v>
      </c>
      <c r="E123" t="s">
        <v>217</v>
      </c>
      <c r="F123" t="s">
        <v>200</v>
      </c>
      <c r="G123" t="s">
        <v>42</v>
      </c>
      <c r="H123" t="s">
        <v>38</v>
      </c>
      <c r="I123" t="s">
        <v>228</v>
      </c>
      <c r="J123" t="s">
        <v>67</v>
      </c>
      <c r="Q123" s="1"/>
      <c r="R123" s="1"/>
      <c r="S123" s="1"/>
    </row>
    <row r="124" spans="1:41" x14ac:dyDescent="0.25">
      <c r="A124" t="s">
        <v>33</v>
      </c>
      <c r="B124" t="s">
        <v>215</v>
      </c>
      <c r="C124" t="s">
        <v>216</v>
      </c>
      <c r="D124" t="s">
        <v>48</v>
      </c>
      <c r="E124" t="s">
        <v>217</v>
      </c>
      <c r="F124" t="s">
        <v>200</v>
      </c>
      <c r="G124" t="s">
        <v>45</v>
      </c>
      <c r="H124" t="s">
        <v>38</v>
      </c>
      <c r="I124" t="s">
        <v>229</v>
      </c>
      <c r="J124" t="s">
        <v>69</v>
      </c>
      <c r="Q124" s="1"/>
      <c r="R124" s="1"/>
      <c r="S124" s="1"/>
    </row>
    <row r="125" spans="1:41" x14ac:dyDescent="0.25">
      <c r="A125" t="s">
        <v>33</v>
      </c>
      <c r="B125" t="s">
        <v>215</v>
      </c>
      <c r="C125" t="s">
        <v>216</v>
      </c>
      <c r="D125" t="s">
        <v>48</v>
      </c>
      <c r="E125" t="s">
        <v>217</v>
      </c>
      <c r="F125" t="s">
        <v>202</v>
      </c>
      <c r="G125" t="s">
        <v>37</v>
      </c>
      <c r="H125" t="s">
        <v>38</v>
      </c>
      <c r="I125" t="s">
        <v>230</v>
      </c>
      <c r="J125" t="s">
        <v>72</v>
      </c>
      <c r="K125" t="str">
        <f>_xlfn.CONCAT("k",J125,C125)</f>
        <v>k13|183|01|A5</v>
      </c>
      <c r="N125" s="1" t="s">
        <v>41</v>
      </c>
      <c r="Q125" s="1"/>
      <c r="R125" s="1"/>
      <c r="S125" s="1"/>
      <c r="Z125">
        <v>19.57</v>
      </c>
      <c r="AA125">
        <v>126.48</v>
      </c>
    </row>
    <row r="126" spans="1:41" x14ac:dyDescent="0.25">
      <c r="A126" t="s">
        <v>33</v>
      </c>
      <c r="B126" t="s">
        <v>215</v>
      </c>
      <c r="C126" t="s">
        <v>216</v>
      </c>
      <c r="D126" t="s">
        <v>48</v>
      </c>
      <c r="E126" t="s">
        <v>217</v>
      </c>
      <c r="F126" t="s">
        <v>202</v>
      </c>
      <c r="G126" t="s">
        <v>42</v>
      </c>
      <c r="H126" t="s">
        <v>38</v>
      </c>
      <c r="I126" t="s">
        <v>231</v>
      </c>
      <c r="J126" t="s">
        <v>74</v>
      </c>
      <c r="Q126" s="1"/>
      <c r="R126" s="1"/>
      <c r="S126" s="1"/>
    </row>
    <row r="127" spans="1:41" x14ac:dyDescent="0.25">
      <c r="A127" t="s">
        <v>33</v>
      </c>
      <c r="B127" t="s">
        <v>215</v>
      </c>
      <c r="C127" t="s">
        <v>216</v>
      </c>
      <c r="D127" t="s">
        <v>48</v>
      </c>
      <c r="E127" t="s">
        <v>217</v>
      </c>
      <c r="F127" t="s">
        <v>202</v>
      </c>
      <c r="G127" t="s">
        <v>45</v>
      </c>
      <c r="H127" t="s">
        <v>38</v>
      </c>
      <c r="I127" t="s">
        <v>232</v>
      </c>
      <c r="J127" t="s">
        <v>76</v>
      </c>
      <c r="Q127" s="1"/>
      <c r="R127" s="1"/>
      <c r="S127" s="1"/>
    </row>
    <row r="128" spans="1:41" x14ac:dyDescent="0.25">
      <c r="A128" t="s">
        <v>33</v>
      </c>
      <c r="B128" t="s">
        <v>215</v>
      </c>
      <c r="C128" t="s">
        <v>216</v>
      </c>
      <c r="D128" t="s">
        <v>48</v>
      </c>
      <c r="E128" t="s">
        <v>217</v>
      </c>
      <c r="F128" t="s">
        <v>204</v>
      </c>
      <c r="G128" t="s">
        <v>37</v>
      </c>
      <c r="H128" t="s">
        <v>38</v>
      </c>
      <c r="I128" t="s">
        <v>233</v>
      </c>
      <c r="J128" t="s">
        <v>96</v>
      </c>
      <c r="K128" t="str">
        <f>_xlfn.CONCAT("k",J128,C128)</f>
        <v>k16|183|01|A5</v>
      </c>
      <c r="N128" s="1" t="s">
        <v>41</v>
      </c>
      <c r="Q128" s="1"/>
      <c r="R128" s="1"/>
      <c r="S128" s="1"/>
      <c r="Z128">
        <v>12.85</v>
      </c>
      <c r="AA128">
        <v>113.62</v>
      </c>
    </row>
    <row r="129" spans="1:41" x14ac:dyDescent="0.25">
      <c r="A129" t="s">
        <v>33</v>
      </c>
      <c r="B129" t="s">
        <v>215</v>
      </c>
      <c r="C129" t="s">
        <v>216</v>
      </c>
      <c r="D129" t="s">
        <v>48</v>
      </c>
      <c r="E129" t="s">
        <v>217</v>
      </c>
      <c r="F129" t="s">
        <v>204</v>
      </c>
      <c r="G129" t="s">
        <v>42</v>
      </c>
      <c r="H129" t="s">
        <v>38</v>
      </c>
      <c r="I129" t="s">
        <v>234</v>
      </c>
      <c r="J129" t="s">
        <v>98</v>
      </c>
      <c r="Q129" s="1"/>
      <c r="R129" s="1"/>
      <c r="S129" s="1"/>
    </row>
    <row r="130" spans="1:41" x14ac:dyDescent="0.25">
      <c r="A130" t="s">
        <v>33</v>
      </c>
      <c r="B130" t="s">
        <v>215</v>
      </c>
      <c r="C130" t="s">
        <v>216</v>
      </c>
      <c r="D130" t="s">
        <v>48</v>
      </c>
      <c r="E130" t="s">
        <v>217</v>
      </c>
      <c r="F130" t="s">
        <v>204</v>
      </c>
      <c r="G130" t="s">
        <v>45</v>
      </c>
      <c r="H130" t="s">
        <v>38</v>
      </c>
      <c r="I130" t="s">
        <v>235</v>
      </c>
      <c r="J130" t="s">
        <v>100</v>
      </c>
      <c r="Q130" s="1"/>
      <c r="R130" s="1"/>
      <c r="S130" s="1"/>
    </row>
    <row r="131" spans="1:41" x14ac:dyDescent="0.25">
      <c r="A131" t="s">
        <v>33</v>
      </c>
      <c r="B131" t="s">
        <v>236</v>
      </c>
      <c r="C131" t="s">
        <v>237</v>
      </c>
      <c r="D131" t="s">
        <v>48</v>
      </c>
      <c r="E131" t="s">
        <v>238</v>
      </c>
      <c r="F131" t="s">
        <v>206</v>
      </c>
      <c r="G131" t="s">
        <v>37</v>
      </c>
      <c r="H131" t="s">
        <v>38</v>
      </c>
      <c r="I131" t="s">
        <v>239</v>
      </c>
      <c r="J131" t="s">
        <v>40</v>
      </c>
      <c r="K131" t="str">
        <f>_xlfn.CONCAT("k",J131,C131)</f>
        <v>k01|183|01|A6</v>
      </c>
      <c r="N131" s="1" t="s">
        <v>41</v>
      </c>
      <c r="P131" s="1" t="s">
        <v>41</v>
      </c>
      <c r="Q131" s="1" t="s">
        <v>41</v>
      </c>
      <c r="R131" s="1" t="s">
        <v>41</v>
      </c>
      <c r="S131" s="1" t="s">
        <v>41</v>
      </c>
      <c r="T131" s="1" t="s">
        <v>41</v>
      </c>
      <c r="W131">
        <v>4.28</v>
      </c>
      <c r="X131">
        <v>6.9266743443035201</v>
      </c>
      <c r="Y131">
        <v>5.53</v>
      </c>
      <c r="Z131">
        <v>28.44</v>
      </c>
      <c r="AA131">
        <v>181.85</v>
      </c>
      <c r="AB131">
        <v>0.54100000000000004</v>
      </c>
      <c r="AC131">
        <v>3.96</v>
      </c>
      <c r="AD131">
        <v>1.4079999999999999</v>
      </c>
      <c r="AE131">
        <v>30.235584525967401</v>
      </c>
      <c r="AI131">
        <v>0.29599999999999999</v>
      </c>
      <c r="AJ131">
        <v>0.2</v>
      </c>
      <c r="AK131">
        <v>0.84</v>
      </c>
      <c r="AL131">
        <v>44.92</v>
      </c>
      <c r="AM131">
        <v>34.840000000000003</v>
      </c>
      <c r="AN131">
        <v>1.87</v>
      </c>
      <c r="AO131">
        <v>104.29</v>
      </c>
    </row>
    <row r="132" spans="1:41" x14ac:dyDescent="0.25">
      <c r="A132" t="s">
        <v>33</v>
      </c>
      <c r="B132" t="s">
        <v>236</v>
      </c>
      <c r="C132" t="s">
        <v>237</v>
      </c>
      <c r="D132" t="s">
        <v>48</v>
      </c>
      <c r="E132" t="s">
        <v>238</v>
      </c>
      <c r="F132" t="s">
        <v>206</v>
      </c>
      <c r="G132" t="s">
        <v>42</v>
      </c>
      <c r="H132" t="s">
        <v>38</v>
      </c>
      <c r="I132" t="s">
        <v>240</v>
      </c>
      <c r="J132" t="s">
        <v>44</v>
      </c>
      <c r="Q132" s="1"/>
      <c r="R132" s="1"/>
      <c r="S132" s="1"/>
    </row>
    <row r="133" spans="1:41" x14ac:dyDescent="0.25">
      <c r="A133" t="s">
        <v>33</v>
      </c>
      <c r="B133" t="s">
        <v>236</v>
      </c>
      <c r="C133" t="s">
        <v>237</v>
      </c>
      <c r="D133" t="s">
        <v>48</v>
      </c>
      <c r="E133" t="s">
        <v>238</v>
      </c>
      <c r="F133" t="s">
        <v>206</v>
      </c>
      <c r="G133" t="s">
        <v>45</v>
      </c>
      <c r="H133" t="s">
        <v>38</v>
      </c>
      <c r="I133" t="s">
        <v>241</v>
      </c>
      <c r="J133" t="s">
        <v>47</v>
      </c>
      <c r="K133" t="str">
        <f>_xlfn.CONCAT("k",J133,C133)</f>
        <v>k03|183|01|A6</v>
      </c>
      <c r="N133" s="1" t="s">
        <v>41</v>
      </c>
      <c r="P133" s="1" t="s">
        <v>41</v>
      </c>
      <c r="Q133" s="1" t="s">
        <v>41</v>
      </c>
      <c r="R133" s="1" t="s">
        <v>41</v>
      </c>
      <c r="S133" s="1" t="s">
        <v>41</v>
      </c>
      <c r="W133">
        <v>4.04</v>
      </c>
      <c r="X133">
        <v>8.7337410438504293</v>
      </c>
      <c r="Y133">
        <v>5.31</v>
      </c>
      <c r="Z133">
        <v>2.8</v>
      </c>
      <c r="AA133">
        <v>52.46</v>
      </c>
      <c r="AB133">
        <v>0.14599999999999999</v>
      </c>
      <c r="AC133">
        <v>1.744</v>
      </c>
      <c r="AD133">
        <v>0.86399999999999999</v>
      </c>
      <c r="AI133">
        <v>1.468</v>
      </c>
      <c r="AJ133">
        <v>0.13</v>
      </c>
      <c r="AK133">
        <v>0.53</v>
      </c>
      <c r="AL133">
        <v>31.64</v>
      </c>
      <c r="AM133">
        <v>9.76</v>
      </c>
      <c r="AN133">
        <v>0.37</v>
      </c>
      <c r="AO133">
        <v>38.47</v>
      </c>
    </row>
    <row r="134" spans="1:41" x14ac:dyDescent="0.25">
      <c r="A134" t="s">
        <v>33</v>
      </c>
      <c r="B134" t="s">
        <v>236</v>
      </c>
      <c r="C134" t="s">
        <v>237</v>
      </c>
      <c r="D134" t="s">
        <v>48</v>
      </c>
      <c r="E134" t="s">
        <v>238</v>
      </c>
      <c r="F134" t="s">
        <v>208</v>
      </c>
      <c r="G134" t="s">
        <v>37</v>
      </c>
      <c r="H134" t="s">
        <v>38</v>
      </c>
      <c r="I134" t="s">
        <v>242</v>
      </c>
      <c r="J134" t="s">
        <v>51</v>
      </c>
      <c r="K134" t="str">
        <f>_xlfn.CONCAT("k",J134,C134)</f>
        <v>k04|183|01|A6</v>
      </c>
      <c r="N134" s="1" t="s">
        <v>41</v>
      </c>
      <c r="Q134" s="1"/>
      <c r="R134" s="1"/>
      <c r="S134" s="1"/>
      <c r="U134" t="s">
        <v>41</v>
      </c>
      <c r="Z134">
        <v>5.7</v>
      </c>
      <c r="AA134">
        <v>130.15</v>
      </c>
      <c r="AF134" s="3">
        <v>622</v>
      </c>
      <c r="AG134" s="3">
        <v>252.99999999999699</v>
      </c>
      <c r="AH134" s="3">
        <v>125.000000000003</v>
      </c>
    </row>
    <row r="135" spans="1:41" x14ac:dyDescent="0.25">
      <c r="A135" t="s">
        <v>33</v>
      </c>
      <c r="B135" t="s">
        <v>236</v>
      </c>
      <c r="C135" t="s">
        <v>237</v>
      </c>
      <c r="D135" t="s">
        <v>48</v>
      </c>
      <c r="E135" t="s">
        <v>238</v>
      </c>
      <c r="F135" t="s">
        <v>208</v>
      </c>
      <c r="G135" t="s">
        <v>42</v>
      </c>
      <c r="H135" t="s">
        <v>38</v>
      </c>
      <c r="I135" t="s">
        <v>243</v>
      </c>
      <c r="J135" t="s">
        <v>53</v>
      </c>
      <c r="Q135" s="1"/>
      <c r="R135" s="1"/>
      <c r="S135" s="1"/>
    </row>
    <row r="136" spans="1:41" x14ac:dyDescent="0.25">
      <c r="A136" t="s">
        <v>33</v>
      </c>
      <c r="B136" t="s">
        <v>236</v>
      </c>
      <c r="C136" t="s">
        <v>237</v>
      </c>
      <c r="D136" t="s">
        <v>48</v>
      </c>
      <c r="E136" t="s">
        <v>238</v>
      </c>
      <c r="F136" t="s">
        <v>208</v>
      </c>
      <c r="G136" t="s">
        <v>45</v>
      </c>
      <c r="H136" t="s">
        <v>38</v>
      </c>
      <c r="I136" t="s">
        <v>244</v>
      </c>
      <c r="J136" t="s">
        <v>55</v>
      </c>
      <c r="Q136" s="1"/>
      <c r="R136" s="1"/>
      <c r="S136" s="1"/>
    </row>
    <row r="137" spans="1:41" x14ac:dyDescent="0.25">
      <c r="A137" t="s">
        <v>33</v>
      </c>
      <c r="B137" t="s">
        <v>236</v>
      </c>
      <c r="C137" t="s">
        <v>237</v>
      </c>
      <c r="D137" t="s">
        <v>33</v>
      </c>
      <c r="E137" t="s">
        <v>238</v>
      </c>
      <c r="F137" t="s">
        <v>210</v>
      </c>
      <c r="G137" t="s">
        <v>37</v>
      </c>
      <c r="H137" t="s">
        <v>38</v>
      </c>
      <c r="I137" t="s">
        <v>245</v>
      </c>
      <c r="J137" t="s">
        <v>58</v>
      </c>
      <c r="K137" t="str">
        <f>_xlfn.CONCAT("k",J137,C137)</f>
        <v>k07|183|01|A6</v>
      </c>
      <c r="N137" s="1" t="s">
        <v>41</v>
      </c>
      <c r="Q137" s="1"/>
      <c r="R137" s="1"/>
      <c r="S137" s="1"/>
      <c r="Z137">
        <v>1.42</v>
      </c>
      <c r="AA137">
        <v>85.9</v>
      </c>
    </row>
    <row r="138" spans="1:41" x14ac:dyDescent="0.25">
      <c r="A138" t="s">
        <v>33</v>
      </c>
      <c r="B138" t="s">
        <v>236</v>
      </c>
      <c r="C138" t="s">
        <v>237</v>
      </c>
      <c r="D138" t="s">
        <v>33</v>
      </c>
      <c r="E138" t="s">
        <v>238</v>
      </c>
      <c r="F138" t="s">
        <v>210</v>
      </c>
      <c r="G138" t="s">
        <v>42</v>
      </c>
      <c r="H138" t="s">
        <v>38</v>
      </c>
      <c r="I138" t="s">
        <v>246</v>
      </c>
      <c r="J138" t="s">
        <v>60</v>
      </c>
      <c r="Q138" s="1"/>
      <c r="R138" s="1"/>
      <c r="S138" s="1"/>
    </row>
    <row r="139" spans="1:41" x14ac:dyDescent="0.25">
      <c r="A139" t="s">
        <v>33</v>
      </c>
      <c r="B139" t="s">
        <v>236</v>
      </c>
      <c r="C139" t="s">
        <v>237</v>
      </c>
      <c r="D139" t="s">
        <v>33</v>
      </c>
      <c r="E139" t="s">
        <v>238</v>
      </c>
      <c r="F139" t="s">
        <v>210</v>
      </c>
      <c r="G139" t="s">
        <v>45</v>
      </c>
      <c r="H139" t="s">
        <v>38</v>
      </c>
      <c r="I139" t="s">
        <v>247</v>
      </c>
      <c r="J139" t="s">
        <v>62</v>
      </c>
      <c r="Q139" s="1"/>
      <c r="R139" s="1"/>
      <c r="S139" s="1"/>
    </row>
    <row r="140" spans="1:41" x14ac:dyDescent="0.25">
      <c r="A140" t="s">
        <v>33</v>
      </c>
      <c r="B140" t="s">
        <v>236</v>
      </c>
      <c r="C140" t="s">
        <v>237</v>
      </c>
      <c r="D140" t="s">
        <v>48</v>
      </c>
      <c r="E140" t="s">
        <v>238</v>
      </c>
      <c r="F140" t="s">
        <v>212</v>
      </c>
      <c r="G140" t="s">
        <v>37</v>
      </c>
      <c r="H140" t="s">
        <v>38</v>
      </c>
      <c r="I140" t="s">
        <v>248</v>
      </c>
      <c r="J140" t="s">
        <v>65</v>
      </c>
      <c r="K140" t="str">
        <f>_xlfn.CONCAT("k",J140,C140)</f>
        <v>k10|183|01|A6</v>
      </c>
      <c r="N140" s="1" t="s">
        <v>41</v>
      </c>
      <c r="Q140" s="1"/>
      <c r="R140" s="1"/>
      <c r="S140" s="1"/>
      <c r="Z140">
        <v>24.09</v>
      </c>
      <c r="AA140">
        <v>76.08</v>
      </c>
    </row>
    <row r="141" spans="1:41" x14ac:dyDescent="0.25">
      <c r="A141" t="s">
        <v>33</v>
      </c>
      <c r="B141" t="s">
        <v>236</v>
      </c>
      <c r="C141" t="s">
        <v>237</v>
      </c>
      <c r="D141" t="s">
        <v>48</v>
      </c>
      <c r="E141" t="s">
        <v>238</v>
      </c>
      <c r="F141" t="s">
        <v>212</v>
      </c>
      <c r="G141" t="s">
        <v>42</v>
      </c>
      <c r="H141" t="s">
        <v>38</v>
      </c>
      <c r="I141" t="s">
        <v>249</v>
      </c>
      <c r="J141" t="s">
        <v>67</v>
      </c>
      <c r="Q141" s="1"/>
      <c r="R141" s="1"/>
      <c r="S141" s="1"/>
    </row>
    <row r="142" spans="1:41" x14ac:dyDescent="0.25">
      <c r="A142" t="s">
        <v>33</v>
      </c>
      <c r="B142" t="s">
        <v>236</v>
      </c>
      <c r="C142" t="s">
        <v>237</v>
      </c>
      <c r="D142" t="s">
        <v>48</v>
      </c>
      <c r="E142" t="s">
        <v>238</v>
      </c>
      <c r="F142" t="s">
        <v>212</v>
      </c>
      <c r="G142" t="s">
        <v>45</v>
      </c>
      <c r="H142" t="s">
        <v>38</v>
      </c>
      <c r="I142" t="s">
        <v>250</v>
      </c>
      <c r="J142" t="s">
        <v>69</v>
      </c>
      <c r="Q142" s="1"/>
      <c r="R142" s="1"/>
      <c r="S142" s="1"/>
    </row>
    <row r="143" spans="1:41" x14ac:dyDescent="0.25">
      <c r="A143" t="s">
        <v>33</v>
      </c>
      <c r="B143" t="s">
        <v>236</v>
      </c>
      <c r="C143" t="s">
        <v>237</v>
      </c>
      <c r="D143" t="s">
        <v>48</v>
      </c>
      <c r="E143" t="s">
        <v>238</v>
      </c>
      <c r="F143" t="s">
        <v>214</v>
      </c>
      <c r="G143" t="s">
        <v>37</v>
      </c>
      <c r="H143" t="s">
        <v>38</v>
      </c>
      <c r="I143" t="s">
        <v>251</v>
      </c>
      <c r="J143" t="s">
        <v>72</v>
      </c>
      <c r="K143" t="str">
        <f>_xlfn.CONCAT("k",J143,C143)</f>
        <v>k13|183|01|A6</v>
      </c>
      <c r="N143" s="1" t="s">
        <v>41</v>
      </c>
      <c r="Q143" s="1"/>
      <c r="R143" s="1"/>
      <c r="S143" s="1"/>
      <c r="Z143">
        <v>15.23</v>
      </c>
      <c r="AA143">
        <v>22.62</v>
      </c>
    </row>
    <row r="144" spans="1:41" x14ac:dyDescent="0.25">
      <c r="A144" t="s">
        <v>33</v>
      </c>
      <c r="B144" t="s">
        <v>236</v>
      </c>
      <c r="C144" t="s">
        <v>237</v>
      </c>
      <c r="D144" t="s">
        <v>48</v>
      </c>
      <c r="E144" t="s">
        <v>238</v>
      </c>
      <c r="F144" t="s">
        <v>214</v>
      </c>
      <c r="G144" t="s">
        <v>42</v>
      </c>
      <c r="H144" t="s">
        <v>38</v>
      </c>
      <c r="I144" t="s">
        <v>252</v>
      </c>
      <c r="J144" t="s">
        <v>74</v>
      </c>
      <c r="Q144" s="1"/>
      <c r="R144" s="1"/>
      <c r="S144" s="1"/>
    </row>
    <row r="145" spans="1:27" x14ac:dyDescent="0.25">
      <c r="A145" t="s">
        <v>33</v>
      </c>
      <c r="B145" t="s">
        <v>236</v>
      </c>
      <c r="C145" t="s">
        <v>237</v>
      </c>
      <c r="D145" t="s">
        <v>48</v>
      </c>
      <c r="E145" t="s">
        <v>238</v>
      </c>
      <c r="F145" t="s">
        <v>214</v>
      </c>
      <c r="G145" t="s">
        <v>45</v>
      </c>
      <c r="H145" t="s">
        <v>38</v>
      </c>
      <c r="I145" t="s">
        <v>253</v>
      </c>
      <c r="J145" t="s">
        <v>76</v>
      </c>
      <c r="Q145" s="1"/>
      <c r="R145" s="1"/>
      <c r="S145" s="1"/>
    </row>
    <row r="146" spans="1:27" x14ac:dyDescent="0.25">
      <c r="A146" t="s">
        <v>33</v>
      </c>
      <c r="B146" t="s">
        <v>236</v>
      </c>
      <c r="C146" t="s">
        <v>237</v>
      </c>
      <c r="D146" t="s">
        <v>48</v>
      </c>
      <c r="E146" t="s">
        <v>238</v>
      </c>
      <c r="F146" t="s">
        <v>254</v>
      </c>
      <c r="G146" t="s">
        <v>37</v>
      </c>
      <c r="H146" t="s">
        <v>38</v>
      </c>
      <c r="I146" t="s">
        <v>255</v>
      </c>
      <c r="J146" t="s">
        <v>96</v>
      </c>
      <c r="K146" t="str">
        <f>_xlfn.CONCAT("k",J146,C146)</f>
        <v>k16|183|01|A6</v>
      </c>
      <c r="N146" s="1" t="s">
        <v>41</v>
      </c>
      <c r="Q146" s="1"/>
      <c r="R146" s="1"/>
      <c r="S146" s="1"/>
      <c r="Z146">
        <v>22.57</v>
      </c>
      <c r="AA146">
        <v>75.69</v>
      </c>
    </row>
    <row r="147" spans="1:27" x14ac:dyDescent="0.25">
      <c r="A147" t="s">
        <v>33</v>
      </c>
      <c r="B147" t="s">
        <v>236</v>
      </c>
      <c r="C147" t="s">
        <v>237</v>
      </c>
      <c r="D147" t="s">
        <v>48</v>
      </c>
      <c r="E147" t="s">
        <v>238</v>
      </c>
      <c r="F147" t="s">
        <v>254</v>
      </c>
      <c r="G147" t="s">
        <v>42</v>
      </c>
      <c r="H147" t="s">
        <v>38</v>
      </c>
      <c r="I147" t="s">
        <v>256</v>
      </c>
      <c r="J147" t="s">
        <v>98</v>
      </c>
      <c r="Q147" s="1"/>
      <c r="R147" s="1"/>
      <c r="S147" s="1"/>
    </row>
    <row r="148" spans="1:27" x14ac:dyDescent="0.25">
      <c r="A148" t="s">
        <v>33</v>
      </c>
      <c r="B148" t="s">
        <v>236</v>
      </c>
      <c r="C148" t="s">
        <v>237</v>
      </c>
      <c r="D148" t="s">
        <v>48</v>
      </c>
      <c r="E148" t="s">
        <v>238</v>
      </c>
      <c r="F148" t="s">
        <v>254</v>
      </c>
      <c r="G148" t="s">
        <v>45</v>
      </c>
      <c r="H148" t="s">
        <v>38</v>
      </c>
      <c r="I148" t="s">
        <v>257</v>
      </c>
      <c r="J148" t="s">
        <v>100</v>
      </c>
      <c r="Q148" s="1"/>
      <c r="R148" s="1"/>
      <c r="S148" s="1"/>
    </row>
    <row r="149" spans="1:27" x14ac:dyDescent="0.25">
      <c r="A149" t="s">
        <v>33</v>
      </c>
      <c r="B149" t="s">
        <v>236</v>
      </c>
      <c r="C149" t="s">
        <v>237</v>
      </c>
      <c r="D149" t="s">
        <v>48</v>
      </c>
      <c r="E149" t="s">
        <v>238</v>
      </c>
      <c r="F149" t="s">
        <v>258</v>
      </c>
      <c r="G149" t="s">
        <v>37</v>
      </c>
      <c r="H149" t="s">
        <v>38</v>
      </c>
      <c r="I149" t="s">
        <v>259</v>
      </c>
      <c r="J149" t="s">
        <v>123</v>
      </c>
      <c r="K149" t="str">
        <f>_xlfn.CONCAT("k",J149,C149)</f>
        <v>k19|183|01|A6</v>
      </c>
      <c r="N149" s="1" t="s">
        <v>41</v>
      </c>
      <c r="Q149" s="1"/>
      <c r="R149" s="1"/>
      <c r="S149" s="1"/>
      <c r="Z149">
        <v>9.4600000000000009</v>
      </c>
      <c r="AA149">
        <v>71.78</v>
      </c>
    </row>
    <row r="150" spans="1:27" x14ac:dyDescent="0.25">
      <c r="A150" t="s">
        <v>33</v>
      </c>
      <c r="B150" t="s">
        <v>236</v>
      </c>
      <c r="C150" t="s">
        <v>237</v>
      </c>
      <c r="D150" t="s">
        <v>48</v>
      </c>
      <c r="E150" t="s">
        <v>238</v>
      </c>
      <c r="F150" t="s">
        <v>258</v>
      </c>
      <c r="G150" t="s">
        <v>42</v>
      </c>
      <c r="H150" t="s">
        <v>38</v>
      </c>
      <c r="I150" t="s">
        <v>260</v>
      </c>
      <c r="J150" t="s">
        <v>125</v>
      </c>
      <c r="Q150" s="1"/>
      <c r="R150" s="1"/>
      <c r="S150" s="1"/>
    </row>
    <row r="151" spans="1:27" x14ac:dyDescent="0.25">
      <c r="A151" t="s">
        <v>33</v>
      </c>
      <c r="B151" t="s">
        <v>236</v>
      </c>
      <c r="C151" t="s">
        <v>237</v>
      </c>
      <c r="D151" t="s">
        <v>48</v>
      </c>
      <c r="E151" t="s">
        <v>238</v>
      </c>
      <c r="F151" t="s">
        <v>258</v>
      </c>
      <c r="G151" t="s">
        <v>45</v>
      </c>
      <c r="H151" t="s">
        <v>38</v>
      </c>
      <c r="I151" t="s">
        <v>261</v>
      </c>
      <c r="J151" t="s">
        <v>127</v>
      </c>
      <c r="Q151" s="1"/>
      <c r="R151" s="1"/>
      <c r="S151" s="1"/>
    </row>
    <row r="152" spans="1:27" x14ac:dyDescent="0.25">
      <c r="A152" t="s">
        <v>33</v>
      </c>
      <c r="B152" t="s">
        <v>236</v>
      </c>
      <c r="C152" t="s">
        <v>237</v>
      </c>
      <c r="D152" t="s">
        <v>48</v>
      </c>
      <c r="E152" t="s">
        <v>238</v>
      </c>
      <c r="F152" t="s">
        <v>262</v>
      </c>
      <c r="G152" t="s">
        <v>37</v>
      </c>
      <c r="H152" t="s">
        <v>38</v>
      </c>
      <c r="I152" t="s">
        <v>263</v>
      </c>
      <c r="J152" t="s">
        <v>129</v>
      </c>
      <c r="K152" t="str">
        <f>_xlfn.CONCAT("k",J152,C152)</f>
        <v>k22|183|01|A6</v>
      </c>
      <c r="N152" s="1" t="s">
        <v>41</v>
      </c>
      <c r="Q152" s="1"/>
      <c r="R152" s="1"/>
      <c r="S152" s="1"/>
      <c r="Z152">
        <v>10.86</v>
      </c>
      <c r="AA152">
        <v>37.229999999999997</v>
      </c>
    </row>
    <row r="153" spans="1:27" x14ac:dyDescent="0.25">
      <c r="A153" t="s">
        <v>33</v>
      </c>
      <c r="B153" t="s">
        <v>236</v>
      </c>
      <c r="C153" t="s">
        <v>237</v>
      </c>
      <c r="D153" t="s">
        <v>48</v>
      </c>
      <c r="E153" t="s">
        <v>238</v>
      </c>
      <c r="F153" t="s">
        <v>262</v>
      </c>
      <c r="G153" t="s">
        <v>42</v>
      </c>
      <c r="H153" t="s">
        <v>38</v>
      </c>
      <c r="I153" t="s">
        <v>264</v>
      </c>
      <c r="J153" t="s">
        <v>131</v>
      </c>
      <c r="Q153" s="1"/>
      <c r="R153" s="1"/>
      <c r="S153" s="1"/>
    </row>
    <row r="154" spans="1:27" x14ac:dyDescent="0.25">
      <c r="A154" t="s">
        <v>33</v>
      </c>
      <c r="B154" t="s">
        <v>236</v>
      </c>
      <c r="C154" t="s">
        <v>237</v>
      </c>
      <c r="D154" t="s">
        <v>48</v>
      </c>
      <c r="E154" t="s">
        <v>238</v>
      </c>
      <c r="F154" t="s">
        <v>262</v>
      </c>
      <c r="G154" t="s">
        <v>45</v>
      </c>
      <c r="H154" t="s">
        <v>38</v>
      </c>
      <c r="I154" t="s">
        <v>265</v>
      </c>
      <c r="J154" t="s">
        <v>133</v>
      </c>
      <c r="Q154" s="1"/>
      <c r="R154" s="1"/>
      <c r="S154" s="1"/>
    </row>
    <row r="155" spans="1:27" x14ac:dyDescent="0.25">
      <c r="A155" t="s">
        <v>33</v>
      </c>
      <c r="B155" t="s">
        <v>236</v>
      </c>
      <c r="C155" t="s">
        <v>237</v>
      </c>
      <c r="D155" t="s">
        <v>48</v>
      </c>
      <c r="E155" t="s">
        <v>238</v>
      </c>
      <c r="F155" t="s">
        <v>266</v>
      </c>
      <c r="G155" t="s">
        <v>37</v>
      </c>
      <c r="H155" t="s">
        <v>38</v>
      </c>
      <c r="I155" t="s">
        <v>267</v>
      </c>
      <c r="J155" t="s">
        <v>135</v>
      </c>
      <c r="K155" t="str">
        <f>_xlfn.CONCAT("k",J155,C155)</f>
        <v>k25|183|01|A6</v>
      </c>
      <c r="N155" s="1" t="s">
        <v>41</v>
      </c>
      <c r="Q155" s="1"/>
      <c r="R155" s="1"/>
      <c r="S155" s="1"/>
      <c r="Z155">
        <v>6.14</v>
      </c>
      <c r="AA155">
        <v>35.69</v>
      </c>
    </row>
    <row r="156" spans="1:27" x14ac:dyDescent="0.25">
      <c r="A156" t="s">
        <v>33</v>
      </c>
      <c r="B156" t="s">
        <v>236</v>
      </c>
      <c r="C156" t="s">
        <v>237</v>
      </c>
      <c r="D156" t="s">
        <v>48</v>
      </c>
      <c r="E156" t="s">
        <v>238</v>
      </c>
      <c r="F156" t="s">
        <v>266</v>
      </c>
      <c r="G156" t="s">
        <v>42</v>
      </c>
      <c r="H156" t="s">
        <v>38</v>
      </c>
      <c r="I156" t="s">
        <v>268</v>
      </c>
      <c r="J156" t="s">
        <v>137</v>
      </c>
      <c r="Q156" s="1"/>
      <c r="R156" s="1"/>
      <c r="S156" s="1"/>
    </row>
    <row r="157" spans="1:27" x14ac:dyDescent="0.25">
      <c r="A157" t="s">
        <v>33</v>
      </c>
      <c r="B157" t="s">
        <v>236</v>
      </c>
      <c r="C157" t="s">
        <v>237</v>
      </c>
      <c r="D157" t="s">
        <v>48</v>
      </c>
      <c r="E157" t="s">
        <v>238</v>
      </c>
      <c r="F157" t="s">
        <v>266</v>
      </c>
      <c r="G157" t="s">
        <v>45</v>
      </c>
      <c r="H157" t="s">
        <v>38</v>
      </c>
      <c r="I157" t="s">
        <v>269</v>
      </c>
      <c r="J157" t="s">
        <v>139</v>
      </c>
      <c r="Q157" s="1"/>
      <c r="R157" s="1"/>
      <c r="S157" s="1"/>
    </row>
    <row r="158" spans="1:27" x14ac:dyDescent="0.25">
      <c r="A158" t="s">
        <v>33</v>
      </c>
      <c r="B158" t="s">
        <v>236</v>
      </c>
      <c r="C158" t="s">
        <v>237</v>
      </c>
      <c r="D158" t="s">
        <v>48</v>
      </c>
      <c r="E158" t="s">
        <v>238</v>
      </c>
      <c r="F158" t="s">
        <v>270</v>
      </c>
      <c r="G158" t="s">
        <v>37</v>
      </c>
      <c r="H158" t="s">
        <v>38</v>
      </c>
      <c r="I158" t="s">
        <v>271</v>
      </c>
      <c r="J158" t="s">
        <v>141</v>
      </c>
      <c r="K158" t="str">
        <f>_xlfn.CONCAT("k",J158,C158)</f>
        <v>k28|183|01|A6</v>
      </c>
      <c r="N158" s="1" t="s">
        <v>41</v>
      </c>
      <c r="Q158" s="1"/>
      <c r="R158" s="1"/>
      <c r="S158" s="1"/>
      <c r="Z158">
        <v>10.85</v>
      </c>
      <c r="AA158">
        <v>96.18</v>
      </c>
    </row>
    <row r="159" spans="1:27" x14ac:dyDescent="0.25">
      <c r="A159" t="s">
        <v>33</v>
      </c>
      <c r="B159" t="s">
        <v>236</v>
      </c>
      <c r="C159" t="s">
        <v>237</v>
      </c>
      <c r="D159" t="s">
        <v>48</v>
      </c>
      <c r="E159" t="s">
        <v>238</v>
      </c>
      <c r="F159" t="s">
        <v>270</v>
      </c>
      <c r="G159" t="s">
        <v>42</v>
      </c>
      <c r="H159" t="s">
        <v>38</v>
      </c>
      <c r="I159" t="s">
        <v>272</v>
      </c>
      <c r="J159" t="s">
        <v>143</v>
      </c>
      <c r="Q159" s="1"/>
      <c r="R159" s="1"/>
      <c r="S159" s="1"/>
    </row>
    <row r="160" spans="1:27" x14ac:dyDescent="0.25">
      <c r="A160" t="s">
        <v>33</v>
      </c>
      <c r="B160" t="s">
        <v>236</v>
      </c>
      <c r="C160" t="s">
        <v>237</v>
      </c>
      <c r="D160" t="s">
        <v>48</v>
      </c>
      <c r="E160" t="s">
        <v>238</v>
      </c>
      <c r="F160" t="s">
        <v>270</v>
      </c>
      <c r="G160" t="s">
        <v>45</v>
      </c>
      <c r="H160" t="s">
        <v>38</v>
      </c>
      <c r="I160" t="s">
        <v>273</v>
      </c>
      <c r="J160" t="s">
        <v>145</v>
      </c>
      <c r="Q160" s="1"/>
      <c r="R160" s="1"/>
      <c r="S160" s="1"/>
    </row>
    <row r="161" spans="1:41" x14ac:dyDescent="0.25">
      <c r="A161" t="s">
        <v>33</v>
      </c>
      <c r="B161" t="s">
        <v>236</v>
      </c>
      <c r="C161" t="s">
        <v>237</v>
      </c>
      <c r="D161" t="s">
        <v>48</v>
      </c>
      <c r="E161" t="s">
        <v>238</v>
      </c>
      <c r="F161" t="s">
        <v>274</v>
      </c>
      <c r="G161" t="s">
        <v>37</v>
      </c>
      <c r="H161" t="s">
        <v>38</v>
      </c>
      <c r="I161" t="s">
        <v>275</v>
      </c>
      <c r="J161" t="s">
        <v>176</v>
      </c>
      <c r="K161" t="str">
        <f>_xlfn.CONCAT("k",J161,C161)</f>
        <v>k31|183|01|A6</v>
      </c>
      <c r="N161" s="1" t="s">
        <v>41</v>
      </c>
      <c r="Q161" s="1"/>
      <c r="R161" s="1"/>
      <c r="S161" s="1"/>
      <c r="Z161">
        <v>1.19</v>
      </c>
      <c r="AA161">
        <v>26.88</v>
      </c>
    </row>
    <row r="162" spans="1:41" x14ac:dyDescent="0.25">
      <c r="A162" t="s">
        <v>33</v>
      </c>
      <c r="B162" t="s">
        <v>236</v>
      </c>
      <c r="C162" t="s">
        <v>237</v>
      </c>
      <c r="D162" t="s">
        <v>48</v>
      </c>
      <c r="E162" t="s">
        <v>238</v>
      </c>
      <c r="F162" t="s">
        <v>274</v>
      </c>
      <c r="G162" t="s">
        <v>42</v>
      </c>
      <c r="H162" t="s">
        <v>38</v>
      </c>
      <c r="I162" t="s">
        <v>276</v>
      </c>
      <c r="J162" t="s">
        <v>180</v>
      </c>
      <c r="Q162" s="1"/>
      <c r="R162" s="1"/>
      <c r="S162" s="1"/>
    </row>
    <row r="163" spans="1:41" x14ac:dyDescent="0.25">
      <c r="A163" t="s">
        <v>33</v>
      </c>
      <c r="B163" t="s">
        <v>236</v>
      </c>
      <c r="C163" t="s">
        <v>237</v>
      </c>
      <c r="D163" t="s">
        <v>48</v>
      </c>
      <c r="E163" t="s">
        <v>238</v>
      </c>
      <c r="F163" t="s">
        <v>274</v>
      </c>
      <c r="G163" t="s">
        <v>45</v>
      </c>
      <c r="H163" t="s">
        <v>38</v>
      </c>
      <c r="I163" t="s">
        <v>277</v>
      </c>
      <c r="J163" t="s">
        <v>184</v>
      </c>
      <c r="Q163" s="1"/>
      <c r="R163" s="1"/>
      <c r="S163" s="1"/>
    </row>
    <row r="164" spans="1:41" x14ac:dyDescent="0.25">
      <c r="A164" t="s">
        <v>33</v>
      </c>
      <c r="B164" t="s">
        <v>278</v>
      </c>
      <c r="C164" t="s">
        <v>279</v>
      </c>
      <c r="D164" t="s">
        <v>33</v>
      </c>
      <c r="E164" t="s">
        <v>280</v>
      </c>
      <c r="F164" t="s">
        <v>281</v>
      </c>
      <c r="G164" t="s">
        <v>37</v>
      </c>
      <c r="H164" t="s">
        <v>38</v>
      </c>
      <c r="I164" t="s">
        <v>282</v>
      </c>
      <c r="J164" t="s">
        <v>40</v>
      </c>
      <c r="K164" t="str">
        <f>_xlfn.CONCAT("k",J164,C164)</f>
        <v>k01|183|01|A7</v>
      </c>
      <c r="N164" s="1" t="s">
        <v>41</v>
      </c>
      <c r="P164" s="1" t="s">
        <v>41</v>
      </c>
      <c r="Q164" s="1" t="s">
        <v>41</v>
      </c>
      <c r="R164" s="1" t="s">
        <v>41</v>
      </c>
      <c r="S164" s="1" t="s">
        <v>41</v>
      </c>
      <c r="T164" s="1" t="s">
        <v>41</v>
      </c>
      <c r="W164">
        <v>3.94</v>
      </c>
      <c r="X164">
        <v>7.0000465947051804</v>
      </c>
      <c r="Y164">
        <v>5.52</v>
      </c>
      <c r="Z164">
        <v>12.25</v>
      </c>
      <c r="AA164">
        <v>42.41</v>
      </c>
      <c r="AB164">
        <v>9.9000000000000005E-2</v>
      </c>
      <c r="AC164">
        <v>1.827</v>
      </c>
      <c r="AD164">
        <v>0.496</v>
      </c>
      <c r="AE164">
        <v>16.8701840625281</v>
      </c>
      <c r="AI164">
        <v>1.17</v>
      </c>
      <c r="AJ164">
        <v>0.1</v>
      </c>
      <c r="AK164">
        <v>0.53</v>
      </c>
      <c r="AL164">
        <v>21.15</v>
      </c>
      <c r="AM164">
        <v>68.38</v>
      </c>
      <c r="AN164">
        <v>3</v>
      </c>
      <c r="AO164">
        <v>7.47</v>
      </c>
    </row>
    <row r="165" spans="1:41" x14ac:dyDescent="0.25">
      <c r="A165" t="s">
        <v>33</v>
      </c>
      <c r="B165" t="s">
        <v>278</v>
      </c>
      <c r="C165" t="s">
        <v>279</v>
      </c>
      <c r="D165" t="s">
        <v>33</v>
      </c>
      <c r="E165" t="s">
        <v>280</v>
      </c>
      <c r="F165" t="s">
        <v>281</v>
      </c>
      <c r="G165" t="s">
        <v>42</v>
      </c>
      <c r="H165" t="s">
        <v>38</v>
      </c>
      <c r="I165" t="s">
        <v>283</v>
      </c>
      <c r="J165" t="s">
        <v>44</v>
      </c>
      <c r="Q165" s="1"/>
      <c r="R165" s="1"/>
      <c r="S165" s="1"/>
    </row>
    <row r="166" spans="1:41" x14ac:dyDescent="0.25">
      <c r="A166" t="s">
        <v>33</v>
      </c>
      <c r="B166" t="s">
        <v>278</v>
      </c>
      <c r="C166" t="s">
        <v>279</v>
      </c>
      <c r="D166" t="s">
        <v>33</v>
      </c>
      <c r="E166" t="s">
        <v>280</v>
      </c>
      <c r="F166" t="s">
        <v>281</v>
      </c>
      <c r="G166" t="s">
        <v>45</v>
      </c>
      <c r="H166" t="s">
        <v>38</v>
      </c>
      <c r="I166" t="s">
        <v>284</v>
      </c>
      <c r="J166" t="s">
        <v>47</v>
      </c>
      <c r="K166" t="str">
        <f>_xlfn.CONCAT("k",J166,C166)</f>
        <v>k03|183|01|A7</v>
      </c>
      <c r="N166" s="1" t="s">
        <v>41</v>
      </c>
      <c r="P166" s="1" t="s">
        <v>41</v>
      </c>
      <c r="Q166" s="1" t="s">
        <v>41</v>
      </c>
      <c r="R166" s="1" t="s">
        <v>41</v>
      </c>
      <c r="S166" s="1" t="s">
        <v>41</v>
      </c>
      <c r="W166">
        <v>4.28</v>
      </c>
      <c r="X166">
        <v>5.2115681836594296</v>
      </c>
      <c r="Y166">
        <v>5.8</v>
      </c>
      <c r="Z166">
        <v>4.07</v>
      </c>
      <c r="AA166">
        <v>45.05</v>
      </c>
      <c r="AB166">
        <v>0.104</v>
      </c>
      <c r="AC166">
        <v>3.6709999999999998</v>
      </c>
      <c r="AD166">
        <v>1.4930000000000001</v>
      </c>
      <c r="AI166">
        <v>0.84399999999999997</v>
      </c>
      <c r="AJ166">
        <v>0.08</v>
      </c>
      <c r="AK166">
        <v>0.44</v>
      </c>
      <c r="AL166">
        <v>14.72</v>
      </c>
      <c r="AM166">
        <v>26.7</v>
      </c>
      <c r="AN166">
        <v>1.84</v>
      </c>
      <c r="AO166">
        <v>10.1</v>
      </c>
    </row>
    <row r="167" spans="1:41" x14ac:dyDescent="0.25">
      <c r="A167" t="s">
        <v>33</v>
      </c>
      <c r="B167" t="s">
        <v>278</v>
      </c>
      <c r="C167" t="s">
        <v>279</v>
      </c>
      <c r="D167" t="s">
        <v>33</v>
      </c>
      <c r="E167" t="s">
        <v>280</v>
      </c>
      <c r="F167" t="s">
        <v>285</v>
      </c>
      <c r="G167" t="s">
        <v>37</v>
      </c>
      <c r="H167" t="s">
        <v>38</v>
      </c>
      <c r="I167" t="s">
        <v>286</v>
      </c>
      <c r="J167" t="s">
        <v>51</v>
      </c>
      <c r="K167" t="str">
        <f>_xlfn.CONCAT("k",J167,C167)</f>
        <v>k04|183|01|A7</v>
      </c>
      <c r="N167" s="1" t="s">
        <v>41</v>
      </c>
      <c r="Q167" s="1"/>
      <c r="R167" s="1"/>
      <c r="S167" s="1"/>
      <c r="U167" t="s">
        <v>41</v>
      </c>
      <c r="Z167">
        <v>11.55</v>
      </c>
      <c r="AA167">
        <v>114.29</v>
      </c>
      <c r="AF167" s="3">
        <v>479</v>
      </c>
      <c r="AG167" s="3">
        <v>332.99999999998801</v>
      </c>
      <c r="AH167" s="3">
        <v>188.00000000001199</v>
      </c>
    </row>
    <row r="168" spans="1:41" x14ac:dyDescent="0.25">
      <c r="A168" t="s">
        <v>33</v>
      </c>
      <c r="B168" t="s">
        <v>278</v>
      </c>
      <c r="C168" t="s">
        <v>279</v>
      </c>
      <c r="D168" t="s">
        <v>33</v>
      </c>
      <c r="E168" t="s">
        <v>280</v>
      </c>
      <c r="F168" t="s">
        <v>285</v>
      </c>
      <c r="G168" t="s">
        <v>42</v>
      </c>
      <c r="H168" t="s">
        <v>38</v>
      </c>
      <c r="I168" t="s">
        <v>287</v>
      </c>
      <c r="J168" t="s">
        <v>53</v>
      </c>
      <c r="Q168" s="1"/>
      <c r="R168" s="1"/>
      <c r="S168" s="1"/>
    </row>
    <row r="169" spans="1:41" x14ac:dyDescent="0.25">
      <c r="A169" t="s">
        <v>33</v>
      </c>
      <c r="B169" t="s">
        <v>278</v>
      </c>
      <c r="C169" t="s">
        <v>279</v>
      </c>
      <c r="D169" t="s">
        <v>33</v>
      </c>
      <c r="E169" t="s">
        <v>280</v>
      </c>
      <c r="F169" t="s">
        <v>285</v>
      </c>
      <c r="G169" t="s">
        <v>45</v>
      </c>
      <c r="H169" t="s">
        <v>38</v>
      </c>
      <c r="I169" t="s">
        <v>288</v>
      </c>
      <c r="J169" t="s">
        <v>55</v>
      </c>
      <c r="Q169" s="1"/>
      <c r="R169" s="1"/>
      <c r="S169" s="1"/>
    </row>
    <row r="170" spans="1:41" x14ac:dyDescent="0.25">
      <c r="A170" t="s">
        <v>33</v>
      </c>
      <c r="B170" t="s">
        <v>278</v>
      </c>
      <c r="C170" t="s">
        <v>279</v>
      </c>
      <c r="D170" t="s">
        <v>48</v>
      </c>
      <c r="E170" t="s">
        <v>280</v>
      </c>
      <c r="F170" t="s">
        <v>289</v>
      </c>
      <c r="G170" t="s">
        <v>37</v>
      </c>
      <c r="H170" t="s">
        <v>38</v>
      </c>
      <c r="I170" t="s">
        <v>290</v>
      </c>
      <c r="J170" t="s">
        <v>58</v>
      </c>
      <c r="K170" t="str">
        <f>_xlfn.CONCAT("k",J170,C170)</f>
        <v>k07|183|01|A7</v>
      </c>
      <c r="N170" s="1" t="s">
        <v>41</v>
      </c>
      <c r="Q170" s="1"/>
      <c r="R170" s="1"/>
      <c r="S170" s="1"/>
      <c r="Z170">
        <v>18.38</v>
      </c>
      <c r="AA170">
        <v>124.57</v>
      </c>
    </row>
    <row r="171" spans="1:41" x14ac:dyDescent="0.25">
      <c r="A171" t="s">
        <v>33</v>
      </c>
      <c r="B171" t="s">
        <v>278</v>
      </c>
      <c r="C171" t="s">
        <v>279</v>
      </c>
      <c r="D171" t="s">
        <v>48</v>
      </c>
      <c r="E171" t="s">
        <v>280</v>
      </c>
      <c r="F171" t="s">
        <v>289</v>
      </c>
      <c r="G171" t="s">
        <v>42</v>
      </c>
      <c r="H171" t="s">
        <v>38</v>
      </c>
      <c r="I171" t="s">
        <v>291</v>
      </c>
      <c r="J171" t="s">
        <v>60</v>
      </c>
      <c r="Q171" s="1"/>
      <c r="R171" s="1"/>
      <c r="S171" s="1"/>
    </row>
    <row r="172" spans="1:41" x14ac:dyDescent="0.25">
      <c r="A172" t="s">
        <v>33</v>
      </c>
      <c r="B172" t="s">
        <v>278</v>
      </c>
      <c r="C172" t="s">
        <v>279</v>
      </c>
      <c r="D172" t="s">
        <v>48</v>
      </c>
      <c r="E172" t="s">
        <v>280</v>
      </c>
      <c r="F172" t="s">
        <v>289</v>
      </c>
      <c r="G172" t="s">
        <v>45</v>
      </c>
      <c r="H172" t="s">
        <v>38</v>
      </c>
      <c r="I172" t="s">
        <v>292</v>
      </c>
      <c r="J172" t="s">
        <v>62</v>
      </c>
      <c r="Q172" s="1"/>
      <c r="R172" s="1"/>
      <c r="S172" s="1"/>
    </row>
    <row r="173" spans="1:41" x14ac:dyDescent="0.25">
      <c r="A173" t="s">
        <v>33</v>
      </c>
      <c r="B173" t="s">
        <v>278</v>
      </c>
      <c r="C173" t="s">
        <v>279</v>
      </c>
      <c r="D173" t="s">
        <v>48</v>
      </c>
      <c r="E173" t="s">
        <v>280</v>
      </c>
      <c r="F173" t="s">
        <v>293</v>
      </c>
      <c r="G173" t="s">
        <v>37</v>
      </c>
      <c r="H173" t="s">
        <v>38</v>
      </c>
      <c r="I173" t="s">
        <v>294</v>
      </c>
      <c r="J173" t="s">
        <v>65</v>
      </c>
      <c r="K173" t="str">
        <f>_xlfn.CONCAT("k",J173,C173)</f>
        <v>k10|183|01|A7</v>
      </c>
      <c r="N173" s="1" t="s">
        <v>41</v>
      </c>
      <c r="Q173" s="1"/>
      <c r="R173" s="1"/>
      <c r="S173" s="1"/>
      <c r="Z173">
        <v>9.24</v>
      </c>
      <c r="AA173">
        <v>237.39</v>
      </c>
    </row>
    <row r="174" spans="1:41" x14ac:dyDescent="0.25">
      <c r="A174" t="s">
        <v>33</v>
      </c>
      <c r="B174" t="s">
        <v>278</v>
      </c>
      <c r="C174" t="s">
        <v>279</v>
      </c>
      <c r="D174" t="s">
        <v>48</v>
      </c>
      <c r="E174" t="s">
        <v>280</v>
      </c>
      <c r="F174" t="s">
        <v>293</v>
      </c>
      <c r="G174" t="s">
        <v>42</v>
      </c>
      <c r="H174" t="s">
        <v>38</v>
      </c>
      <c r="I174" t="s">
        <v>295</v>
      </c>
      <c r="J174" t="s">
        <v>67</v>
      </c>
      <c r="Q174" s="1"/>
      <c r="R174" s="1"/>
      <c r="S174" s="1"/>
    </row>
    <row r="175" spans="1:41" x14ac:dyDescent="0.25">
      <c r="A175" t="s">
        <v>33</v>
      </c>
      <c r="B175" t="s">
        <v>278</v>
      </c>
      <c r="C175" t="s">
        <v>279</v>
      </c>
      <c r="D175" t="s">
        <v>48</v>
      </c>
      <c r="E175" t="s">
        <v>280</v>
      </c>
      <c r="F175" t="s">
        <v>293</v>
      </c>
      <c r="G175" t="s">
        <v>45</v>
      </c>
      <c r="H175" t="s">
        <v>38</v>
      </c>
      <c r="I175" t="s">
        <v>296</v>
      </c>
      <c r="J175" t="s">
        <v>69</v>
      </c>
      <c r="Q175" s="1"/>
      <c r="R175" s="1"/>
      <c r="S175" s="1"/>
    </row>
    <row r="176" spans="1:41" x14ac:dyDescent="0.25">
      <c r="A176" t="s">
        <v>33</v>
      </c>
      <c r="B176" t="s">
        <v>278</v>
      </c>
      <c r="C176" t="s">
        <v>279</v>
      </c>
      <c r="D176" t="s">
        <v>48</v>
      </c>
      <c r="E176" t="s">
        <v>280</v>
      </c>
      <c r="F176" t="s">
        <v>297</v>
      </c>
      <c r="G176" t="s">
        <v>37</v>
      </c>
      <c r="H176" t="s">
        <v>38</v>
      </c>
      <c r="I176" t="s">
        <v>298</v>
      </c>
      <c r="J176" t="s">
        <v>72</v>
      </c>
      <c r="K176" t="str">
        <f>_xlfn.CONCAT("k",J176,C176)</f>
        <v>k13|183|01|A7</v>
      </c>
      <c r="N176" s="1" t="s">
        <v>41</v>
      </c>
      <c r="Q176" s="1"/>
      <c r="R176" s="1"/>
      <c r="S176" s="1"/>
      <c r="Z176">
        <v>6.2</v>
      </c>
      <c r="AA176">
        <v>128.72</v>
      </c>
    </row>
    <row r="177" spans="1:41" x14ac:dyDescent="0.25">
      <c r="A177" t="s">
        <v>33</v>
      </c>
      <c r="B177" t="s">
        <v>278</v>
      </c>
      <c r="C177" t="s">
        <v>279</v>
      </c>
      <c r="D177" t="s">
        <v>48</v>
      </c>
      <c r="E177" t="s">
        <v>280</v>
      </c>
      <c r="F177" t="s">
        <v>297</v>
      </c>
      <c r="G177" t="s">
        <v>42</v>
      </c>
      <c r="H177" t="s">
        <v>38</v>
      </c>
      <c r="I177" t="s">
        <v>299</v>
      </c>
      <c r="J177" t="s">
        <v>74</v>
      </c>
      <c r="Q177" s="1"/>
      <c r="R177" s="1"/>
      <c r="S177" s="1"/>
    </row>
    <row r="178" spans="1:41" x14ac:dyDescent="0.25">
      <c r="A178" t="s">
        <v>33</v>
      </c>
      <c r="B178" t="s">
        <v>278</v>
      </c>
      <c r="C178" t="s">
        <v>279</v>
      </c>
      <c r="D178" t="s">
        <v>48</v>
      </c>
      <c r="E178" t="s">
        <v>280</v>
      </c>
      <c r="F178" t="s">
        <v>297</v>
      </c>
      <c r="G178" t="s">
        <v>45</v>
      </c>
      <c r="H178" t="s">
        <v>38</v>
      </c>
      <c r="I178" t="s">
        <v>300</v>
      </c>
      <c r="J178" t="s">
        <v>76</v>
      </c>
      <c r="Q178" s="1"/>
      <c r="R178" s="1"/>
      <c r="S178" s="1"/>
    </row>
    <row r="179" spans="1:41" x14ac:dyDescent="0.25">
      <c r="A179" t="s">
        <v>33</v>
      </c>
      <c r="B179" t="s">
        <v>278</v>
      </c>
      <c r="C179" t="s">
        <v>279</v>
      </c>
      <c r="D179" t="s">
        <v>48</v>
      </c>
      <c r="E179" t="s">
        <v>280</v>
      </c>
      <c r="F179" t="s">
        <v>301</v>
      </c>
      <c r="G179" t="s">
        <v>37</v>
      </c>
      <c r="H179" t="s">
        <v>38</v>
      </c>
      <c r="I179" t="s">
        <v>302</v>
      </c>
      <c r="J179" t="s">
        <v>96</v>
      </c>
      <c r="K179" t="str">
        <f>_xlfn.CONCAT("k",J179,C179)</f>
        <v>k16|183|01|A7</v>
      </c>
      <c r="N179" s="1" t="s">
        <v>41</v>
      </c>
      <c r="Q179" s="1"/>
      <c r="R179" s="1"/>
      <c r="S179" s="1"/>
      <c r="Z179">
        <v>117.88</v>
      </c>
      <c r="AA179">
        <v>87.92</v>
      </c>
    </row>
    <row r="180" spans="1:41" x14ac:dyDescent="0.25">
      <c r="A180" t="s">
        <v>33</v>
      </c>
      <c r="B180" t="s">
        <v>278</v>
      </c>
      <c r="C180" t="s">
        <v>279</v>
      </c>
      <c r="D180" t="s">
        <v>48</v>
      </c>
      <c r="E180" t="s">
        <v>280</v>
      </c>
      <c r="F180" t="s">
        <v>301</v>
      </c>
      <c r="G180" t="s">
        <v>42</v>
      </c>
      <c r="H180" t="s">
        <v>38</v>
      </c>
      <c r="I180" t="s">
        <v>303</v>
      </c>
      <c r="J180" t="s">
        <v>98</v>
      </c>
      <c r="Q180" s="1"/>
      <c r="R180" s="1"/>
      <c r="S180" s="1"/>
    </row>
    <row r="181" spans="1:41" x14ac:dyDescent="0.25">
      <c r="A181" t="s">
        <v>33</v>
      </c>
      <c r="B181" t="s">
        <v>278</v>
      </c>
      <c r="C181" t="s">
        <v>279</v>
      </c>
      <c r="D181" t="s">
        <v>48</v>
      </c>
      <c r="E181" t="s">
        <v>280</v>
      </c>
      <c r="F181" t="s">
        <v>301</v>
      </c>
      <c r="G181" t="s">
        <v>45</v>
      </c>
      <c r="H181" t="s">
        <v>38</v>
      </c>
      <c r="I181" t="s">
        <v>304</v>
      </c>
      <c r="J181" t="s">
        <v>100</v>
      </c>
      <c r="Q181" s="1"/>
      <c r="R181" s="1"/>
      <c r="S181" s="1"/>
    </row>
    <row r="182" spans="1:41" x14ac:dyDescent="0.25">
      <c r="A182" t="s">
        <v>33</v>
      </c>
      <c r="B182" t="s">
        <v>278</v>
      </c>
      <c r="C182" t="s">
        <v>279</v>
      </c>
      <c r="D182" t="s">
        <v>48</v>
      </c>
      <c r="E182" t="s">
        <v>280</v>
      </c>
      <c r="F182" t="s">
        <v>305</v>
      </c>
      <c r="G182" t="s">
        <v>37</v>
      </c>
      <c r="H182" t="s">
        <v>38</v>
      </c>
      <c r="I182" t="s">
        <v>306</v>
      </c>
      <c r="J182" t="s">
        <v>123</v>
      </c>
      <c r="K182" t="str">
        <f>_xlfn.CONCAT("k",J182,C182)</f>
        <v>k19|183|01|A7</v>
      </c>
      <c r="N182" s="1" t="s">
        <v>41</v>
      </c>
      <c r="Q182" s="1"/>
      <c r="R182" s="1"/>
      <c r="S182" s="1"/>
      <c r="Z182">
        <v>8.2899999999999991</v>
      </c>
      <c r="AA182">
        <v>79.459999999999994</v>
      </c>
    </row>
    <row r="183" spans="1:41" x14ac:dyDescent="0.25">
      <c r="A183" t="s">
        <v>33</v>
      </c>
      <c r="B183" t="s">
        <v>278</v>
      </c>
      <c r="C183" t="s">
        <v>279</v>
      </c>
      <c r="D183" t="s">
        <v>48</v>
      </c>
      <c r="E183" t="s">
        <v>280</v>
      </c>
      <c r="F183" t="s">
        <v>305</v>
      </c>
      <c r="G183" t="s">
        <v>42</v>
      </c>
      <c r="H183" t="s">
        <v>38</v>
      </c>
      <c r="I183" t="s">
        <v>307</v>
      </c>
      <c r="J183" t="s">
        <v>125</v>
      </c>
      <c r="Q183" s="1"/>
      <c r="R183" s="1"/>
      <c r="S183" s="1"/>
    </row>
    <row r="184" spans="1:41" x14ac:dyDescent="0.25">
      <c r="A184" t="s">
        <v>33</v>
      </c>
      <c r="B184" t="s">
        <v>278</v>
      </c>
      <c r="C184" t="s">
        <v>279</v>
      </c>
      <c r="D184" t="s">
        <v>48</v>
      </c>
      <c r="E184" t="s">
        <v>280</v>
      </c>
      <c r="F184" t="s">
        <v>305</v>
      </c>
      <c r="G184" t="s">
        <v>45</v>
      </c>
      <c r="H184" t="s">
        <v>38</v>
      </c>
      <c r="I184" t="s">
        <v>308</v>
      </c>
      <c r="J184" t="s">
        <v>127</v>
      </c>
      <c r="Q184" s="1"/>
      <c r="R184" s="1"/>
      <c r="S184" s="1"/>
    </row>
    <row r="185" spans="1:41" x14ac:dyDescent="0.25">
      <c r="A185" t="s">
        <v>33</v>
      </c>
      <c r="B185" t="s">
        <v>278</v>
      </c>
      <c r="C185" t="s">
        <v>279</v>
      </c>
      <c r="D185" t="s">
        <v>48</v>
      </c>
      <c r="E185" t="s">
        <v>280</v>
      </c>
      <c r="F185" t="s">
        <v>309</v>
      </c>
      <c r="G185" t="s">
        <v>37</v>
      </c>
      <c r="H185" t="s">
        <v>38</v>
      </c>
      <c r="I185" t="s">
        <v>310</v>
      </c>
      <c r="J185" t="s">
        <v>129</v>
      </c>
      <c r="K185" t="str">
        <f>_xlfn.CONCAT("k",J185,C185)</f>
        <v>k22|183|01|A7</v>
      </c>
      <c r="N185" s="1" t="s">
        <v>41</v>
      </c>
      <c r="Q185" s="1"/>
      <c r="R185" s="1"/>
      <c r="S185" s="1"/>
      <c r="Z185">
        <v>11.57</v>
      </c>
      <c r="AA185">
        <v>87.92</v>
      </c>
    </row>
    <row r="186" spans="1:41" x14ac:dyDescent="0.25">
      <c r="A186" t="s">
        <v>33</v>
      </c>
      <c r="B186" t="s">
        <v>278</v>
      </c>
      <c r="C186" t="s">
        <v>279</v>
      </c>
      <c r="D186" t="s">
        <v>48</v>
      </c>
      <c r="E186" t="s">
        <v>280</v>
      </c>
      <c r="F186" t="s">
        <v>309</v>
      </c>
      <c r="G186" t="s">
        <v>42</v>
      </c>
      <c r="H186" t="s">
        <v>38</v>
      </c>
      <c r="I186" t="s">
        <v>311</v>
      </c>
      <c r="J186" t="s">
        <v>131</v>
      </c>
      <c r="Q186" s="1"/>
      <c r="R186" s="1"/>
      <c r="S186" s="1"/>
    </row>
    <row r="187" spans="1:41" x14ac:dyDescent="0.25">
      <c r="A187" t="s">
        <v>33</v>
      </c>
      <c r="B187" t="s">
        <v>278</v>
      </c>
      <c r="C187" t="s">
        <v>279</v>
      </c>
      <c r="D187" t="s">
        <v>48</v>
      </c>
      <c r="E187" t="s">
        <v>280</v>
      </c>
      <c r="F187" t="s">
        <v>309</v>
      </c>
      <c r="G187" t="s">
        <v>45</v>
      </c>
      <c r="H187" t="s">
        <v>38</v>
      </c>
      <c r="I187" t="s">
        <v>312</v>
      </c>
      <c r="J187" t="s">
        <v>133</v>
      </c>
      <c r="Q187" s="1"/>
      <c r="R187" s="1"/>
      <c r="S187" s="1"/>
    </row>
    <row r="188" spans="1:41" x14ac:dyDescent="0.25">
      <c r="A188" t="s">
        <v>33</v>
      </c>
      <c r="B188" t="s">
        <v>278</v>
      </c>
      <c r="C188" t="s">
        <v>279</v>
      </c>
      <c r="D188" t="s">
        <v>48</v>
      </c>
      <c r="E188" t="s">
        <v>280</v>
      </c>
      <c r="F188" t="s">
        <v>313</v>
      </c>
      <c r="G188" t="s">
        <v>37</v>
      </c>
      <c r="H188" t="s">
        <v>38</v>
      </c>
      <c r="I188" t="s">
        <v>314</v>
      </c>
      <c r="J188" t="s">
        <v>135</v>
      </c>
      <c r="K188" t="str">
        <f>_xlfn.CONCAT("k",J188,C188)</f>
        <v>k25|183|01|A7</v>
      </c>
      <c r="N188" s="1" t="s">
        <v>41</v>
      </c>
      <c r="Q188" s="1"/>
      <c r="R188" s="1"/>
      <c r="S188" s="1"/>
      <c r="Z188">
        <v>9</v>
      </c>
      <c r="AA188">
        <v>63.93</v>
      </c>
    </row>
    <row r="189" spans="1:41" x14ac:dyDescent="0.25">
      <c r="A189" t="s">
        <v>33</v>
      </c>
      <c r="B189" t="s">
        <v>278</v>
      </c>
      <c r="C189" t="s">
        <v>279</v>
      </c>
      <c r="D189" t="s">
        <v>48</v>
      </c>
      <c r="E189" t="s">
        <v>280</v>
      </c>
      <c r="F189" t="s">
        <v>313</v>
      </c>
      <c r="G189" t="s">
        <v>42</v>
      </c>
      <c r="H189" t="s">
        <v>38</v>
      </c>
      <c r="I189" t="s">
        <v>315</v>
      </c>
      <c r="J189" t="s">
        <v>137</v>
      </c>
      <c r="Q189" s="1"/>
      <c r="R189" s="1"/>
      <c r="S189" s="1"/>
    </row>
    <row r="190" spans="1:41" x14ac:dyDescent="0.25">
      <c r="A190" t="s">
        <v>33</v>
      </c>
      <c r="B190" t="s">
        <v>278</v>
      </c>
      <c r="C190" t="s">
        <v>279</v>
      </c>
      <c r="D190" t="s">
        <v>48</v>
      </c>
      <c r="E190" t="s">
        <v>280</v>
      </c>
      <c r="F190" t="s">
        <v>313</v>
      </c>
      <c r="G190" t="s">
        <v>45</v>
      </c>
      <c r="H190" t="s">
        <v>38</v>
      </c>
      <c r="I190" t="s">
        <v>316</v>
      </c>
      <c r="J190" t="s">
        <v>139</v>
      </c>
      <c r="Q190" s="1"/>
      <c r="R190" s="1"/>
      <c r="S190" s="1"/>
    </row>
    <row r="191" spans="1:41" x14ac:dyDescent="0.25">
      <c r="A191" t="s">
        <v>33</v>
      </c>
      <c r="B191" t="s">
        <v>317</v>
      </c>
      <c r="C191" t="s">
        <v>318</v>
      </c>
      <c r="D191" t="s">
        <v>48</v>
      </c>
      <c r="E191" t="s">
        <v>319</v>
      </c>
      <c r="F191" t="s">
        <v>320</v>
      </c>
      <c r="G191" t="s">
        <v>37</v>
      </c>
      <c r="H191" t="s">
        <v>38</v>
      </c>
      <c r="I191" t="s">
        <v>321</v>
      </c>
      <c r="J191" t="s">
        <v>40</v>
      </c>
      <c r="K191" t="str">
        <f>_xlfn.CONCAT("k",J191,C191)</f>
        <v>k01|183|01|A8</v>
      </c>
      <c r="N191" s="1" t="s">
        <v>41</v>
      </c>
      <c r="P191" s="1" t="s">
        <v>41</v>
      </c>
      <c r="Q191" s="1" t="s">
        <v>41</v>
      </c>
      <c r="R191" s="1" t="s">
        <v>41</v>
      </c>
      <c r="S191" s="1" t="s">
        <v>41</v>
      </c>
      <c r="T191" s="1" t="s">
        <v>41</v>
      </c>
      <c r="W191">
        <v>5.22</v>
      </c>
      <c r="X191">
        <v>3.6041494453857701</v>
      </c>
      <c r="Y191">
        <v>6.15</v>
      </c>
      <c r="Z191">
        <v>11.18</v>
      </c>
      <c r="AA191">
        <v>232.49</v>
      </c>
      <c r="AB191">
        <v>0.59599999999999997</v>
      </c>
      <c r="AC191">
        <v>4.88</v>
      </c>
      <c r="AD191">
        <v>2.4569999999999999</v>
      </c>
      <c r="AE191">
        <v>31.953993156980999</v>
      </c>
      <c r="AI191">
        <v>4.0000000000000001E-3</v>
      </c>
      <c r="AJ191">
        <v>0.45</v>
      </c>
      <c r="AK191">
        <v>2.72</v>
      </c>
      <c r="AL191">
        <v>23.3</v>
      </c>
      <c r="AM191">
        <v>21.44</v>
      </c>
      <c r="AN191">
        <v>3.04</v>
      </c>
      <c r="AO191">
        <v>11.84</v>
      </c>
    </row>
    <row r="192" spans="1:41" x14ac:dyDescent="0.25">
      <c r="A192" t="s">
        <v>33</v>
      </c>
      <c r="B192" t="s">
        <v>317</v>
      </c>
      <c r="C192" t="s">
        <v>318</v>
      </c>
      <c r="D192" t="s">
        <v>48</v>
      </c>
      <c r="E192" t="s">
        <v>319</v>
      </c>
      <c r="F192" t="s">
        <v>320</v>
      </c>
      <c r="G192" t="s">
        <v>42</v>
      </c>
      <c r="H192" t="s">
        <v>38</v>
      </c>
      <c r="I192" t="s">
        <v>322</v>
      </c>
      <c r="J192" t="s">
        <v>44</v>
      </c>
      <c r="Q192" s="1"/>
      <c r="R192" s="1"/>
      <c r="S192" s="1"/>
    </row>
    <row r="193" spans="1:41" x14ac:dyDescent="0.25">
      <c r="A193" t="s">
        <v>33</v>
      </c>
      <c r="B193" t="s">
        <v>317</v>
      </c>
      <c r="C193" t="s">
        <v>318</v>
      </c>
      <c r="D193" t="s">
        <v>48</v>
      </c>
      <c r="E193" t="s">
        <v>319</v>
      </c>
      <c r="F193" t="s">
        <v>320</v>
      </c>
      <c r="G193" t="s">
        <v>45</v>
      </c>
      <c r="H193" t="s">
        <v>38</v>
      </c>
      <c r="I193" t="s">
        <v>323</v>
      </c>
      <c r="J193" t="s">
        <v>47</v>
      </c>
      <c r="K193" t="str">
        <f>_xlfn.CONCAT("k",J193,C193)</f>
        <v>k03|183|01|A8</v>
      </c>
      <c r="N193" s="1" t="s">
        <v>41</v>
      </c>
      <c r="P193" s="1" t="s">
        <v>41</v>
      </c>
      <c r="Q193" s="1" t="s">
        <v>41</v>
      </c>
      <c r="R193" s="1" t="s">
        <v>41</v>
      </c>
      <c r="S193" s="1" t="s">
        <v>41</v>
      </c>
      <c r="W193">
        <v>4.57</v>
      </c>
      <c r="X193">
        <v>4.2212901556841897</v>
      </c>
      <c r="Y193">
        <v>6</v>
      </c>
      <c r="Z193">
        <v>0.57999999999999996</v>
      </c>
      <c r="AA193">
        <v>33.799999999999997</v>
      </c>
      <c r="AB193">
        <v>7.9000000000000001E-2</v>
      </c>
      <c r="AC193">
        <v>3.448</v>
      </c>
      <c r="AD193">
        <v>1.5149999999999999</v>
      </c>
      <c r="AI193">
        <v>0.13500000000000001</v>
      </c>
      <c r="AJ193">
        <v>0.27</v>
      </c>
      <c r="AK193">
        <v>4.57</v>
      </c>
      <c r="AL193">
        <v>19.89</v>
      </c>
      <c r="AM193">
        <v>4.1399999999999997</v>
      </c>
      <c r="AN193">
        <v>0.23</v>
      </c>
      <c r="AO193">
        <v>35.020000000000003</v>
      </c>
    </row>
    <row r="194" spans="1:41" x14ac:dyDescent="0.25">
      <c r="A194" t="s">
        <v>33</v>
      </c>
      <c r="B194" t="s">
        <v>317</v>
      </c>
      <c r="C194" t="s">
        <v>318</v>
      </c>
      <c r="D194" t="s">
        <v>48</v>
      </c>
      <c r="E194" t="s">
        <v>319</v>
      </c>
      <c r="F194" t="s">
        <v>324</v>
      </c>
      <c r="G194" t="s">
        <v>37</v>
      </c>
      <c r="H194" t="s">
        <v>38</v>
      </c>
      <c r="I194" t="s">
        <v>325</v>
      </c>
      <c r="J194" t="s">
        <v>51</v>
      </c>
      <c r="K194" t="str">
        <f>_xlfn.CONCAT("k",J194,C194)</f>
        <v>k04|183|01|A8</v>
      </c>
      <c r="N194" s="1" t="s">
        <v>41</v>
      </c>
      <c r="Q194" s="1"/>
      <c r="R194" s="1"/>
      <c r="S194" s="1"/>
      <c r="U194" t="s">
        <v>41</v>
      </c>
      <c r="Z194">
        <v>12.2</v>
      </c>
      <c r="AA194">
        <v>134.09</v>
      </c>
      <c r="AF194" s="3">
        <v>383</v>
      </c>
      <c r="AG194" s="3">
        <v>449.00000000000199</v>
      </c>
      <c r="AH194" s="3">
        <v>167.99999999999801</v>
      </c>
    </row>
    <row r="195" spans="1:41" x14ac:dyDescent="0.25">
      <c r="A195" t="s">
        <v>33</v>
      </c>
      <c r="B195" t="s">
        <v>317</v>
      </c>
      <c r="C195" t="s">
        <v>318</v>
      </c>
      <c r="D195" t="s">
        <v>48</v>
      </c>
      <c r="E195" t="s">
        <v>319</v>
      </c>
      <c r="F195" t="s">
        <v>324</v>
      </c>
      <c r="G195" t="s">
        <v>42</v>
      </c>
      <c r="H195" t="s">
        <v>38</v>
      </c>
      <c r="I195" t="s">
        <v>326</v>
      </c>
      <c r="J195" t="s">
        <v>53</v>
      </c>
      <c r="Q195" s="1"/>
      <c r="R195" s="1"/>
      <c r="S195" s="1"/>
    </row>
    <row r="196" spans="1:41" x14ac:dyDescent="0.25">
      <c r="A196" t="s">
        <v>33</v>
      </c>
      <c r="B196" t="s">
        <v>317</v>
      </c>
      <c r="C196" t="s">
        <v>318</v>
      </c>
      <c r="D196" t="s">
        <v>48</v>
      </c>
      <c r="E196" t="s">
        <v>319</v>
      </c>
      <c r="F196" t="s">
        <v>324</v>
      </c>
      <c r="G196" t="s">
        <v>45</v>
      </c>
      <c r="H196" t="s">
        <v>38</v>
      </c>
      <c r="I196" t="s">
        <v>327</v>
      </c>
      <c r="J196" t="s">
        <v>55</v>
      </c>
      <c r="Q196" s="1"/>
      <c r="R196" s="1"/>
      <c r="S196" s="1"/>
    </row>
    <row r="197" spans="1:41" x14ac:dyDescent="0.25">
      <c r="A197" t="s">
        <v>33</v>
      </c>
      <c r="B197" t="s">
        <v>317</v>
      </c>
      <c r="C197" t="s">
        <v>318</v>
      </c>
      <c r="D197" t="s">
        <v>48</v>
      </c>
      <c r="E197" t="s">
        <v>319</v>
      </c>
      <c r="F197" t="s">
        <v>328</v>
      </c>
      <c r="G197" t="s">
        <v>37</v>
      </c>
      <c r="H197" t="s">
        <v>38</v>
      </c>
      <c r="I197" t="s">
        <v>329</v>
      </c>
      <c r="J197" t="s">
        <v>58</v>
      </c>
      <c r="K197" t="str">
        <f>_xlfn.CONCAT("k",J197,C197)</f>
        <v>k07|183|01|A8</v>
      </c>
      <c r="N197" s="1" t="s">
        <v>41</v>
      </c>
      <c r="Q197" s="1"/>
      <c r="R197" s="1"/>
      <c r="S197" s="1"/>
      <c r="Z197">
        <v>18.27</v>
      </c>
      <c r="AA197">
        <v>123.21</v>
      </c>
    </row>
    <row r="198" spans="1:41" x14ac:dyDescent="0.25">
      <c r="A198" t="s">
        <v>33</v>
      </c>
      <c r="B198" t="s">
        <v>317</v>
      </c>
      <c r="C198" t="s">
        <v>318</v>
      </c>
      <c r="D198" t="s">
        <v>48</v>
      </c>
      <c r="E198" t="s">
        <v>319</v>
      </c>
      <c r="F198" t="s">
        <v>328</v>
      </c>
      <c r="G198" t="s">
        <v>42</v>
      </c>
      <c r="H198" t="s">
        <v>38</v>
      </c>
      <c r="I198" t="s">
        <v>330</v>
      </c>
      <c r="J198" t="s">
        <v>60</v>
      </c>
      <c r="Q198" s="1"/>
      <c r="R198" s="1"/>
      <c r="S198" s="1"/>
    </row>
    <row r="199" spans="1:41" x14ac:dyDescent="0.25">
      <c r="A199" t="s">
        <v>33</v>
      </c>
      <c r="B199" t="s">
        <v>317</v>
      </c>
      <c r="C199" t="s">
        <v>318</v>
      </c>
      <c r="D199" t="s">
        <v>48</v>
      </c>
      <c r="E199" t="s">
        <v>319</v>
      </c>
      <c r="F199" t="s">
        <v>328</v>
      </c>
      <c r="G199" t="s">
        <v>45</v>
      </c>
      <c r="H199" t="s">
        <v>38</v>
      </c>
      <c r="I199" t="s">
        <v>331</v>
      </c>
      <c r="J199" t="s">
        <v>62</v>
      </c>
      <c r="Q199" s="1"/>
      <c r="R199" s="1"/>
      <c r="S199" s="1"/>
    </row>
    <row r="200" spans="1:41" x14ac:dyDescent="0.25">
      <c r="A200" t="s">
        <v>33</v>
      </c>
      <c r="B200" t="s">
        <v>317</v>
      </c>
      <c r="C200" t="s">
        <v>318</v>
      </c>
      <c r="D200" t="s">
        <v>48</v>
      </c>
      <c r="E200" t="s">
        <v>319</v>
      </c>
      <c r="F200" t="s">
        <v>332</v>
      </c>
      <c r="G200" t="s">
        <v>37</v>
      </c>
      <c r="H200" t="s">
        <v>38</v>
      </c>
      <c r="I200" t="s">
        <v>333</v>
      </c>
      <c r="J200" t="s">
        <v>65</v>
      </c>
      <c r="K200" t="str">
        <f>_xlfn.CONCAT("k",J200,C200)</f>
        <v>k10|183|01|A8</v>
      </c>
      <c r="N200" s="1" t="s">
        <v>41</v>
      </c>
      <c r="Q200" s="1"/>
      <c r="R200" s="1"/>
      <c r="S200" s="1"/>
      <c r="Z200">
        <v>9.7899999999999991</v>
      </c>
      <c r="AA200">
        <v>240.56</v>
      </c>
    </row>
    <row r="201" spans="1:41" x14ac:dyDescent="0.25">
      <c r="A201" t="s">
        <v>33</v>
      </c>
      <c r="B201" t="s">
        <v>317</v>
      </c>
      <c r="C201" t="s">
        <v>318</v>
      </c>
      <c r="D201" t="s">
        <v>48</v>
      </c>
      <c r="E201" t="s">
        <v>319</v>
      </c>
      <c r="F201" t="s">
        <v>332</v>
      </c>
      <c r="G201" t="s">
        <v>42</v>
      </c>
      <c r="H201" t="s">
        <v>38</v>
      </c>
      <c r="I201" t="s">
        <v>334</v>
      </c>
      <c r="J201" t="s">
        <v>67</v>
      </c>
      <c r="Q201" s="1"/>
      <c r="R201" s="1"/>
      <c r="S201" s="1"/>
    </row>
    <row r="202" spans="1:41" x14ac:dyDescent="0.25">
      <c r="A202" t="s">
        <v>33</v>
      </c>
      <c r="B202" t="s">
        <v>317</v>
      </c>
      <c r="C202" t="s">
        <v>318</v>
      </c>
      <c r="D202" t="s">
        <v>48</v>
      </c>
      <c r="E202" t="s">
        <v>319</v>
      </c>
      <c r="F202" t="s">
        <v>332</v>
      </c>
      <c r="G202" t="s">
        <v>45</v>
      </c>
      <c r="H202" t="s">
        <v>38</v>
      </c>
      <c r="I202" t="s">
        <v>335</v>
      </c>
      <c r="J202" t="s">
        <v>69</v>
      </c>
      <c r="Q202" s="1"/>
      <c r="R202" s="1"/>
      <c r="S202" s="1"/>
    </row>
    <row r="203" spans="1:41" x14ac:dyDescent="0.25">
      <c r="A203" t="s">
        <v>33</v>
      </c>
      <c r="B203" t="s">
        <v>317</v>
      </c>
      <c r="C203" t="s">
        <v>318</v>
      </c>
      <c r="D203" t="s">
        <v>33</v>
      </c>
      <c r="E203" t="s">
        <v>319</v>
      </c>
      <c r="F203" t="s">
        <v>336</v>
      </c>
      <c r="G203" t="s">
        <v>37</v>
      </c>
      <c r="H203" t="s">
        <v>38</v>
      </c>
      <c r="I203" t="s">
        <v>337</v>
      </c>
      <c r="J203" t="s">
        <v>72</v>
      </c>
      <c r="K203" t="str">
        <f>_xlfn.CONCAT("k",J203,C203)</f>
        <v>k13|183|01|A8</v>
      </c>
      <c r="N203" s="1" t="s">
        <v>41</v>
      </c>
      <c r="Q203" s="1"/>
      <c r="R203" s="1"/>
      <c r="S203" s="1"/>
      <c r="Z203">
        <v>7.65</v>
      </c>
      <c r="AA203">
        <v>130.46</v>
      </c>
    </row>
    <row r="204" spans="1:41" x14ac:dyDescent="0.25">
      <c r="A204" t="s">
        <v>33</v>
      </c>
      <c r="B204" t="s">
        <v>317</v>
      </c>
      <c r="C204" t="s">
        <v>318</v>
      </c>
      <c r="D204" t="s">
        <v>33</v>
      </c>
      <c r="E204" t="s">
        <v>319</v>
      </c>
      <c r="F204" t="s">
        <v>336</v>
      </c>
      <c r="G204" t="s">
        <v>42</v>
      </c>
      <c r="H204" t="s">
        <v>38</v>
      </c>
      <c r="I204" t="s">
        <v>338</v>
      </c>
      <c r="J204" t="s">
        <v>74</v>
      </c>
      <c r="Q204" s="1"/>
      <c r="R204" s="1"/>
      <c r="S204" s="1"/>
    </row>
    <row r="205" spans="1:41" x14ac:dyDescent="0.25">
      <c r="A205" t="s">
        <v>33</v>
      </c>
      <c r="B205" t="s">
        <v>317</v>
      </c>
      <c r="C205" t="s">
        <v>318</v>
      </c>
      <c r="D205" t="s">
        <v>33</v>
      </c>
      <c r="E205" t="s">
        <v>319</v>
      </c>
      <c r="F205" t="s">
        <v>336</v>
      </c>
      <c r="G205" t="s">
        <v>45</v>
      </c>
      <c r="H205" t="s">
        <v>38</v>
      </c>
      <c r="I205" t="s">
        <v>339</v>
      </c>
      <c r="J205" t="s">
        <v>76</v>
      </c>
      <c r="Q205" s="1"/>
      <c r="R205" s="1"/>
      <c r="S205" s="1"/>
    </row>
    <row r="206" spans="1:41" x14ac:dyDescent="0.25">
      <c r="A206" t="s">
        <v>33</v>
      </c>
      <c r="B206" t="s">
        <v>317</v>
      </c>
      <c r="C206" t="s">
        <v>318</v>
      </c>
      <c r="D206" t="s">
        <v>48</v>
      </c>
      <c r="E206" t="s">
        <v>319</v>
      </c>
      <c r="F206" t="s">
        <v>340</v>
      </c>
      <c r="G206" t="s">
        <v>37</v>
      </c>
      <c r="H206" t="s">
        <v>38</v>
      </c>
      <c r="I206" t="s">
        <v>341</v>
      </c>
      <c r="J206" t="s">
        <v>96</v>
      </c>
      <c r="K206" t="str">
        <f>_xlfn.CONCAT("k",J206,C206)</f>
        <v>k16|183|01|A8</v>
      </c>
      <c r="N206" s="1" t="s">
        <v>41</v>
      </c>
      <c r="Q206" s="1"/>
      <c r="R206" s="1"/>
      <c r="S206" s="1"/>
      <c r="Z206">
        <v>9.92</v>
      </c>
      <c r="AA206">
        <v>239.87</v>
      </c>
    </row>
    <row r="207" spans="1:41" x14ac:dyDescent="0.25">
      <c r="A207" t="s">
        <v>33</v>
      </c>
      <c r="B207" t="s">
        <v>317</v>
      </c>
      <c r="C207" t="s">
        <v>318</v>
      </c>
      <c r="D207" t="s">
        <v>48</v>
      </c>
      <c r="E207" t="s">
        <v>319</v>
      </c>
      <c r="F207" t="s">
        <v>340</v>
      </c>
      <c r="G207" t="s">
        <v>42</v>
      </c>
      <c r="H207" t="s">
        <v>38</v>
      </c>
      <c r="I207" t="s">
        <v>342</v>
      </c>
      <c r="J207" t="s">
        <v>98</v>
      </c>
      <c r="Q207" s="1"/>
      <c r="R207" s="1"/>
      <c r="S207" s="1"/>
    </row>
    <row r="208" spans="1:41" x14ac:dyDescent="0.25">
      <c r="A208" t="s">
        <v>33</v>
      </c>
      <c r="B208" t="s">
        <v>317</v>
      </c>
      <c r="C208" t="s">
        <v>318</v>
      </c>
      <c r="D208" t="s">
        <v>48</v>
      </c>
      <c r="E208" t="s">
        <v>319</v>
      </c>
      <c r="F208" t="s">
        <v>340</v>
      </c>
      <c r="G208" t="s">
        <v>45</v>
      </c>
      <c r="H208" t="s">
        <v>38</v>
      </c>
      <c r="I208" t="s">
        <v>343</v>
      </c>
      <c r="J208" t="s">
        <v>100</v>
      </c>
      <c r="Q208" s="1"/>
      <c r="R208" s="1"/>
      <c r="S208" s="1"/>
    </row>
    <row r="209" spans="1:41" x14ac:dyDescent="0.25">
      <c r="A209" t="s">
        <v>33</v>
      </c>
      <c r="B209" t="s">
        <v>317</v>
      </c>
      <c r="C209" t="s">
        <v>318</v>
      </c>
      <c r="D209" t="s">
        <v>48</v>
      </c>
      <c r="E209" t="s">
        <v>319</v>
      </c>
      <c r="F209" t="s">
        <v>344</v>
      </c>
      <c r="G209" t="s">
        <v>37</v>
      </c>
      <c r="H209" t="s">
        <v>38</v>
      </c>
      <c r="I209" t="s">
        <v>345</v>
      </c>
      <c r="J209" t="s">
        <v>123</v>
      </c>
      <c r="K209" t="str">
        <f>_xlfn.CONCAT("k",J209,C209)</f>
        <v>k19|183|01|A8</v>
      </c>
      <c r="N209" s="1" t="s">
        <v>41</v>
      </c>
      <c r="Q209" s="1"/>
      <c r="R209" s="1"/>
      <c r="S209" s="1"/>
      <c r="Z209">
        <v>6.94</v>
      </c>
      <c r="AA209">
        <v>125.55</v>
      </c>
    </row>
    <row r="210" spans="1:41" x14ac:dyDescent="0.25">
      <c r="A210" t="s">
        <v>33</v>
      </c>
      <c r="B210" t="s">
        <v>317</v>
      </c>
      <c r="C210" t="s">
        <v>318</v>
      </c>
      <c r="D210" t="s">
        <v>48</v>
      </c>
      <c r="E210" t="s">
        <v>319</v>
      </c>
      <c r="F210" t="s">
        <v>344</v>
      </c>
      <c r="G210" t="s">
        <v>42</v>
      </c>
      <c r="H210" t="s">
        <v>38</v>
      </c>
      <c r="I210" t="s">
        <v>346</v>
      </c>
      <c r="J210" t="s">
        <v>125</v>
      </c>
      <c r="Q210" s="1"/>
      <c r="R210" s="1"/>
      <c r="S210" s="1"/>
    </row>
    <row r="211" spans="1:41" x14ac:dyDescent="0.25">
      <c r="A211" t="s">
        <v>33</v>
      </c>
      <c r="B211" t="s">
        <v>317</v>
      </c>
      <c r="C211" t="s">
        <v>318</v>
      </c>
      <c r="D211" t="s">
        <v>48</v>
      </c>
      <c r="E211" t="s">
        <v>319</v>
      </c>
      <c r="F211" t="s">
        <v>344</v>
      </c>
      <c r="G211" t="s">
        <v>45</v>
      </c>
      <c r="H211" t="s">
        <v>38</v>
      </c>
      <c r="I211" t="s">
        <v>347</v>
      </c>
      <c r="J211" t="s">
        <v>127</v>
      </c>
      <c r="Q211" s="1"/>
      <c r="R211" s="1"/>
      <c r="S211" s="1"/>
    </row>
    <row r="212" spans="1:41" x14ac:dyDescent="0.25">
      <c r="A212" t="s">
        <v>33</v>
      </c>
      <c r="B212" t="s">
        <v>348</v>
      </c>
      <c r="C212" t="s">
        <v>349</v>
      </c>
      <c r="D212" t="s">
        <v>48</v>
      </c>
      <c r="E212" t="s">
        <v>350</v>
      </c>
      <c r="F212" t="s">
        <v>351</v>
      </c>
      <c r="G212" t="s">
        <v>37</v>
      </c>
      <c r="H212" t="s">
        <v>38</v>
      </c>
      <c r="I212" t="s">
        <v>352</v>
      </c>
      <c r="J212" t="s">
        <v>40</v>
      </c>
      <c r="K212" t="str">
        <f>_xlfn.CONCAT("k",J212,C212)</f>
        <v>k01|183|01|A9</v>
      </c>
      <c r="N212" s="1" t="s">
        <v>41</v>
      </c>
      <c r="P212" s="1" t="s">
        <v>41</v>
      </c>
      <c r="Q212" s="1" t="s">
        <v>41</v>
      </c>
      <c r="R212" s="1" t="s">
        <v>41</v>
      </c>
      <c r="S212" s="1" t="s">
        <v>41</v>
      </c>
      <c r="T212" s="1" t="s">
        <v>41</v>
      </c>
      <c r="W212">
        <v>4.67</v>
      </c>
      <c r="X212">
        <v>4.5925563379780696</v>
      </c>
      <c r="Y212">
        <v>5.92</v>
      </c>
      <c r="Z212">
        <v>3.91</v>
      </c>
      <c r="AA212">
        <v>152.77000000000001</v>
      </c>
      <c r="AB212">
        <v>0.42199999999999999</v>
      </c>
      <c r="AC212">
        <v>3.2930000000000001</v>
      </c>
      <c r="AD212">
        <v>1.466</v>
      </c>
      <c r="AE212">
        <v>25.080358632926501</v>
      </c>
      <c r="AI212">
        <v>4.7E-2</v>
      </c>
      <c r="AJ212">
        <v>0.31</v>
      </c>
      <c r="AK212">
        <v>1.68</v>
      </c>
      <c r="AL212">
        <v>19.350000000000001</v>
      </c>
      <c r="AM212">
        <v>36.18</v>
      </c>
      <c r="AN212">
        <v>3.48</v>
      </c>
      <c r="AO212">
        <v>48.8</v>
      </c>
    </row>
    <row r="213" spans="1:41" x14ac:dyDescent="0.25">
      <c r="A213" t="s">
        <v>33</v>
      </c>
      <c r="B213" t="s">
        <v>348</v>
      </c>
      <c r="C213" t="s">
        <v>349</v>
      </c>
      <c r="D213" t="s">
        <v>48</v>
      </c>
      <c r="E213" t="s">
        <v>350</v>
      </c>
      <c r="F213" t="s">
        <v>351</v>
      </c>
      <c r="G213" t="s">
        <v>42</v>
      </c>
      <c r="H213" t="s">
        <v>38</v>
      </c>
      <c r="I213" t="s">
        <v>353</v>
      </c>
      <c r="J213" t="s">
        <v>44</v>
      </c>
      <c r="Q213" s="1"/>
      <c r="R213" s="1"/>
      <c r="S213" s="1"/>
    </row>
    <row r="214" spans="1:41" x14ac:dyDescent="0.25">
      <c r="A214" t="s">
        <v>33</v>
      </c>
      <c r="B214" t="s">
        <v>348</v>
      </c>
      <c r="C214" t="s">
        <v>349</v>
      </c>
      <c r="D214" t="s">
        <v>48</v>
      </c>
      <c r="E214" t="s">
        <v>350</v>
      </c>
      <c r="F214" t="s">
        <v>351</v>
      </c>
      <c r="G214" t="s">
        <v>45</v>
      </c>
      <c r="H214" t="s">
        <v>38</v>
      </c>
      <c r="I214" t="s">
        <v>354</v>
      </c>
      <c r="J214" t="s">
        <v>47</v>
      </c>
      <c r="K214" t="str">
        <f>_xlfn.CONCAT("k",J214,C214)</f>
        <v>k03|183|01|A9</v>
      </c>
      <c r="N214" s="1" t="s">
        <v>41</v>
      </c>
      <c r="P214" s="1" t="s">
        <v>41</v>
      </c>
      <c r="Q214" s="1" t="s">
        <v>41</v>
      </c>
      <c r="R214" s="1" t="s">
        <v>41</v>
      </c>
      <c r="S214" s="1" t="s">
        <v>41</v>
      </c>
      <c r="W214">
        <v>5.23</v>
      </c>
      <c r="X214">
        <v>2.5725607546615499</v>
      </c>
      <c r="Y214">
        <v>6.47</v>
      </c>
      <c r="Z214">
        <v>6.57</v>
      </c>
      <c r="AA214">
        <v>147.9</v>
      </c>
      <c r="AB214">
        <v>0.104</v>
      </c>
      <c r="AC214">
        <v>3.3639999999999999</v>
      </c>
      <c r="AD214">
        <v>0.92700000000000005</v>
      </c>
      <c r="AI214">
        <v>3.0000000000000001E-3</v>
      </c>
      <c r="AJ214">
        <v>0.14000000000000001</v>
      </c>
      <c r="AK214">
        <v>2.65</v>
      </c>
      <c r="AL214">
        <v>16.350000000000001</v>
      </c>
      <c r="AM214">
        <v>7.38</v>
      </c>
      <c r="AN214">
        <v>0.39</v>
      </c>
      <c r="AO214">
        <v>33.450000000000003</v>
      </c>
    </row>
    <row r="215" spans="1:41" x14ac:dyDescent="0.25">
      <c r="A215" t="s">
        <v>33</v>
      </c>
      <c r="B215" t="s">
        <v>348</v>
      </c>
      <c r="C215" t="s">
        <v>349</v>
      </c>
      <c r="D215" t="s">
        <v>48</v>
      </c>
      <c r="E215" t="s">
        <v>350</v>
      </c>
      <c r="F215" t="s">
        <v>355</v>
      </c>
      <c r="G215" t="s">
        <v>37</v>
      </c>
      <c r="H215" t="s">
        <v>38</v>
      </c>
      <c r="I215" t="s">
        <v>356</v>
      </c>
      <c r="J215" t="s">
        <v>51</v>
      </c>
      <c r="K215" t="str">
        <f>_xlfn.CONCAT("k",J215,C215)</f>
        <v>k04|183|01|A9</v>
      </c>
      <c r="N215" s="1" t="s">
        <v>41</v>
      </c>
      <c r="Q215" s="1"/>
      <c r="R215" s="1"/>
      <c r="S215" s="1"/>
      <c r="U215" t="s">
        <v>41</v>
      </c>
      <c r="Z215">
        <v>6.83</v>
      </c>
      <c r="AA215">
        <v>148.44</v>
      </c>
      <c r="AF215" s="3">
        <v>378</v>
      </c>
      <c r="AG215" s="3">
        <v>383.99999999999301</v>
      </c>
      <c r="AH215" s="3">
        <v>238.00000000000699</v>
      </c>
    </row>
    <row r="216" spans="1:41" x14ac:dyDescent="0.25">
      <c r="A216" t="s">
        <v>33</v>
      </c>
      <c r="B216" t="s">
        <v>348</v>
      </c>
      <c r="C216" t="s">
        <v>349</v>
      </c>
      <c r="D216" t="s">
        <v>48</v>
      </c>
      <c r="E216" t="s">
        <v>350</v>
      </c>
      <c r="F216" t="s">
        <v>355</v>
      </c>
      <c r="G216" t="s">
        <v>42</v>
      </c>
      <c r="H216" t="s">
        <v>38</v>
      </c>
      <c r="I216" t="s">
        <v>357</v>
      </c>
      <c r="J216" t="s">
        <v>53</v>
      </c>
      <c r="Q216" s="1"/>
      <c r="R216" s="1"/>
      <c r="S216" s="1"/>
    </row>
    <row r="217" spans="1:41" x14ac:dyDescent="0.25">
      <c r="A217" t="s">
        <v>33</v>
      </c>
      <c r="B217" t="s">
        <v>348</v>
      </c>
      <c r="C217" t="s">
        <v>349</v>
      </c>
      <c r="D217" t="s">
        <v>48</v>
      </c>
      <c r="E217" t="s">
        <v>350</v>
      </c>
      <c r="F217" t="s">
        <v>355</v>
      </c>
      <c r="G217" t="s">
        <v>45</v>
      </c>
      <c r="H217" t="s">
        <v>38</v>
      </c>
      <c r="I217" t="s">
        <v>358</v>
      </c>
      <c r="J217" t="s">
        <v>55</v>
      </c>
      <c r="Q217" s="1"/>
      <c r="R217" s="1"/>
      <c r="S217" s="1"/>
    </row>
    <row r="218" spans="1:41" x14ac:dyDescent="0.25">
      <c r="A218" t="s">
        <v>33</v>
      </c>
      <c r="B218" t="s">
        <v>348</v>
      </c>
      <c r="C218" t="s">
        <v>349</v>
      </c>
      <c r="D218" t="s">
        <v>48</v>
      </c>
      <c r="E218" t="s">
        <v>350</v>
      </c>
      <c r="F218" t="s">
        <v>359</v>
      </c>
      <c r="G218" t="s">
        <v>37</v>
      </c>
      <c r="H218" t="s">
        <v>38</v>
      </c>
      <c r="I218" t="s">
        <v>360</v>
      </c>
      <c r="J218" t="s">
        <v>58</v>
      </c>
      <c r="K218" t="str">
        <f>_xlfn.CONCAT("k",J218,C218)</f>
        <v>k07|183|01|A9</v>
      </c>
      <c r="N218" s="1" t="s">
        <v>41</v>
      </c>
      <c r="Q218" s="1"/>
      <c r="R218" s="1"/>
      <c r="S218" s="1"/>
      <c r="Z218">
        <v>1.1100000000000001</v>
      </c>
      <c r="AA218">
        <v>126.96</v>
      </c>
    </row>
    <row r="219" spans="1:41" x14ac:dyDescent="0.25">
      <c r="A219" t="s">
        <v>33</v>
      </c>
      <c r="B219" t="s">
        <v>348</v>
      </c>
      <c r="C219" t="s">
        <v>349</v>
      </c>
      <c r="D219" t="s">
        <v>48</v>
      </c>
      <c r="E219" t="s">
        <v>350</v>
      </c>
      <c r="F219" t="s">
        <v>359</v>
      </c>
      <c r="G219" t="s">
        <v>42</v>
      </c>
      <c r="H219" t="s">
        <v>38</v>
      </c>
      <c r="I219" t="s">
        <v>361</v>
      </c>
      <c r="J219" t="s">
        <v>60</v>
      </c>
      <c r="Q219" s="1"/>
      <c r="R219" s="1"/>
      <c r="S219" s="1"/>
    </row>
    <row r="220" spans="1:41" x14ac:dyDescent="0.25">
      <c r="A220" t="s">
        <v>33</v>
      </c>
      <c r="B220" t="s">
        <v>348</v>
      </c>
      <c r="C220" t="s">
        <v>349</v>
      </c>
      <c r="D220" t="s">
        <v>48</v>
      </c>
      <c r="E220" t="s">
        <v>350</v>
      </c>
      <c r="F220" t="s">
        <v>359</v>
      </c>
      <c r="G220" t="s">
        <v>45</v>
      </c>
      <c r="H220" t="s">
        <v>38</v>
      </c>
      <c r="I220" t="s">
        <v>362</v>
      </c>
      <c r="J220" t="s">
        <v>62</v>
      </c>
      <c r="Q220" s="1"/>
      <c r="R220" s="1"/>
      <c r="S220" s="1"/>
    </row>
    <row r="221" spans="1:41" x14ac:dyDescent="0.25">
      <c r="A221" t="s">
        <v>33</v>
      </c>
      <c r="B221" t="s">
        <v>363</v>
      </c>
      <c r="C221" t="s">
        <v>364</v>
      </c>
      <c r="D221" t="s">
        <v>48</v>
      </c>
      <c r="E221" t="s">
        <v>365</v>
      </c>
      <c r="F221" t="s">
        <v>366</v>
      </c>
      <c r="G221" t="s">
        <v>37</v>
      </c>
      <c r="H221" t="s">
        <v>38</v>
      </c>
      <c r="I221" t="s">
        <v>367</v>
      </c>
      <c r="J221" t="s">
        <v>40</v>
      </c>
      <c r="K221" t="str">
        <f>_xlfn.CONCAT("k",J221,C221)</f>
        <v>k01|183|01|B1</v>
      </c>
      <c r="N221" s="1" t="s">
        <v>41</v>
      </c>
      <c r="P221" s="1" t="s">
        <v>41</v>
      </c>
      <c r="Q221" s="1" t="s">
        <v>41</v>
      </c>
      <c r="R221" s="1" t="s">
        <v>41</v>
      </c>
      <c r="S221" s="1" t="s">
        <v>41</v>
      </c>
      <c r="T221" s="1" t="s">
        <v>41</v>
      </c>
      <c r="W221">
        <v>4.53</v>
      </c>
      <c r="X221">
        <v>7.1491309611203899</v>
      </c>
      <c r="Y221">
        <v>5.5</v>
      </c>
      <c r="Z221">
        <v>27.65</v>
      </c>
      <c r="AA221">
        <v>258.38</v>
      </c>
      <c r="AB221">
        <v>0.67400000000000004</v>
      </c>
      <c r="AC221">
        <v>4.1449999999999996</v>
      </c>
      <c r="AD221">
        <v>0.85</v>
      </c>
      <c r="AE221">
        <v>30.617453110637101</v>
      </c>
      <c r="AI221">
        <v>0.11799999999999999</v>
      </c>
      <c r="AJ221">
        <v>0.47</v>
      </c>
      <c r="AK221">
        <v>3.84</v>
      </c>
      <c r="AL221">
        <v>13.99</v>
      </c>
      <c r="AM221">
        <v>25.14</v>
      </c>
      <c r="AN221">
        <v>4.2</v>
      </c>
      <c r="AO221">
        <v>15.16</v>
      </c>
    </row>
    <row r="222" spans="1:41" x14ac:dyDescent="0.25">
      <c r="A222" t="s">
        <v>33</v>
      </c>
      <c r="B222" t="s">
        <v>363</v>
      </c>
      <c r="C222" t="s">
        <v>364</v>
      </c>
      <c r="D222" t="s">
        <v>48</v>
      </c>
      <c r="E222" t="s">
        <v>365</v>
      </c>
      <c r="F222" t="s">
        <v>366</v>
      </c>
      <c r="G222" t="s">
        <v>42</v>
      </c>
      <c r="H222" t="s">
        <v>38</v>
      </c>
      <c r="I222" t="s">
        <v>368</v>
      </c>
      <c r="J222" t="s">
        <v>44</v>
      </c>
      <c r="Q222" s="1"/>
      <c r="R222" s="1"/>
      <c r="S222" s="1"/>
    </row>
    <row r="223" spans="1:41" x14ac:dyDescent="0.25">
      <c r="A223" t="s">
        <v>33</v>
      </c>
      <c r="B223" t="s">
        <v>363</v>
      </c>
      <c r="C223" t="s">
        <v>364</v>
      </c>
      <c r="D223" t="s">
        <v>48</v>
      </c>
      <c r="E223" t="s">
        <v>365</v>
      </c>
      <c r="F223" t="s">
        <v>366</v>
      </c>
      <c r="G223" t="s">
        <v>45</v>
      </c>
      <c r="H223" t="s">
        <v>38</v>
      </c>
      <c r="I223" t="s">
        <v>369</v>
      </c>
      <c r="J223" t="s">
        <v>47</v>
      </c>
      <c r="K223" t="str">
        <f>_xlfn.CONCAT("k",J223,C223)</f>
        <v>k03|183|01|B1</v>
      </c>
      <c r="N223" s="1" t="s">
        <v>41</v>
      </c>
      <c r="P223" s="1" t="s">
        <v>41</v>
      </c>
      <c r="Q223" s="1" t="s">
        <v>41</v>
      </c>
      <c r="R223" s="1" t="s">
        <v>41</v>
      </c>
      <c r="S223" s="1" t="s">
        <v>41</v>
      </c>
      <c r="W223">
        <v>5.03</v>
      </c>
      <c r="X223">
        <v>3.34787831176043</v>
      </c>
      <c r="Y223">
        <v>6.22</v>
      </c>
      <c r="Z223">
        <v>0.99</v>
      </c>
      <c r="AA223">
        <v>105.67</v>
      </c>
      <c r="AB223">
        <v>0.27700000000000002</v>
      </c>
      <c r="AC223">
        <v>3.2450000000000001</v>
      </c>
      <c r="AD223">
        <v>0.77900000000000003</v>
      </c>
      <c r="AI223">
        <v>4.0000000000000001E-3</v>
      </c>
      <c r="AJ223">
        <v>0.3</v>
      </c>
      <c r="AK223">
        <v>5.04</v>
      </c>
      <c r="AL223">
        <v>7.89</v>
      </c>
      <c r="AM223">
        <v>12.13</v>
      </c>
      <c r="AN223">
        <v>0.82</v>
      </c>
      <c r="AO223">
        <v>48.04</v>
      </c>
    </row>
    <row r="224" spans="1:41" x14ac:dyDescent="0.25">
      <c r="A224" t="s">
        <v>33</v>
      </c>
      <c r="B224" t="s">
        <v>363</v>
      </c>
      <c r="C224" t="s">
        <v>364</v>
      </c>
      <c r="D224" t="s">
        <v>33</v>
      </c>
      <c r="E224" t="s">
        <v>365</v>
      </c>
      <c r="F224" t="s">
        <v>370</v>
      </c>
      <c r="G224" t="s">
        <v>37</v>
      </c>
      <c r="H224" t="s">
        <v>38</v>
      </c>
      <c r="I224" t="s">
        <v>371</v>
      </c>
      <c r="J224" t="s">
        <v>51</v>
      </c>
      <c r="K224" t="str">
        <f>_xlfn.CONCAT("k",J224,C224)</f>
        <v>k04|183|01|B1</v>
      </c>
      <c r="N224" s="1" t="s">
        <v>41</v>
      </c>
      <c r="Z224">
        <v>2.19</v>
      </c>
      <c r="AA224">
        <v>79.319999999999993</v>
      </c>
    </row>
    <row r="225" spans="1:27" x14ac:dyDescent="0.25">
      <c r="A225" t="s">
        <v>33</v>
      </c>
      <c r="B225" t="s">
        <v>363</v>
      </c>
      <c r="C225" t="s">
        <v>364</v>
      </c>
      <c r="D225" t="s">
        <v>33</v>
      </c>
      <c r="E225" t="s">
        <v>365</v>
      </c>
      <c r="F225" t="s">
        <v>370</v>
      </c>
      <c r="G225" t="s">
        <v>42</v>
      </c>
      <c r="H225" t="s">
        <v>38</v>
      </c>
      <c r="I225" t="s">
        <v>372</v>
      </c>
      <c r="J225" t="s">
        <v>53</v>
      </c>
    </row>
    <row r="226" spans="1:27" x14ac:dyDescent="0.25">
      <c r="A226" t="s">
        <v>33</v>
      </c>
      <c r="B226" t="s">
        <v>363</v>
      </c>
      <c r="C226" t="s">
        <v>364</v>
      </c>
      <c r="D226" t="s">
        <v>33</v>
      </c>
      <c r="E226" t="s">
        <v>365</v>
      </c>
      <c r="F226" t="s">
        <v>370</v>
      </c>
      <c r="G226" t="s">
        <v>45</v>
      </c>
      <c r="H226" t="s">
        <v>38</v>
      </c>
      <c r="I226" t="s">
        <v>373</v>
      </c>
      <c r="J226" t="s">
        <v>55</v>
      </c>
    </row>
    <row r="227" spans="1:27" x14ac:dyDescent="0.25">
      <c r="A227" t="s">
        <v>33</v>
      </c>
      <c r="B227" t="s">
        <v>363</v>
      </c>
      <c r="C227" t="s">
        <v>364</v>
      </c>
      <c r="D227" t="s">
        <v>48</v>
      </c>
      <c r="E227" t="s">
        <v>365</v>
      </c>
      <c r="F227" t="s">
        <v>374</v>
      </c>
      <c r="G227" t="s">
        <v>37</v>
      </c>
      <c r="H227" t="s">
        <v>38</v>
      </c>
      <c r="I227" t="s">
        <v>375</v>
      </c>
      <c r="J227" t="s">
        <v>58</v>
      </c>
      <c r="K227" t="str">
        <f>_xlfn.CONCAT("k",J227,C227)</f>
        <v>k07|183|01|B1</v>
      </c>
      <c r="N227" s="1" t="s">
        <v>41</v>
      </c>
      <c r="Z227">
        <v>22.33</v>
      </c>
      <c r="AA227">
        <v>259.7</v>
      </c>
    </row>
    <row r="228" spans="1:27" x14ac:dyDescent="0.25">
      <c r="A228" t="s">
        <v>33</v>
      </c>
      <c r="B228" t="s">
        <v>363</v>
      </c>
      <c r="C228" t="s">
        <v>364</v>
      </c>
      <c r="D228" t="s">
        <v>48</v>
      </c>
      <c r="E228" t="s">
        <v>365</v>
      </c>
      <c r="F228" t="s">
        <v>374</v>
      </c>
      <c r="G228" t="s">
        <v>42</v>
      </c>
      <c r="H228" t="s">
        <v>38</v>
      </c>
      <c r="I228" t="s">
        <v>376</v>
      </c>
      <c r="J228" t="s">
        <v>60</v>
      </c>
    </row>
    <row r="229" spans="1:27" x14ac:dyDescent="0.25">
      <c r="A229" t="s">
        <v>33</v>
      </c>
      <c r="B229" t="s">
        <v>363</v>
      </c>
      <c r="C229" t="s">
        <v>364</v>
      </c>
      <c r="D229" t="s">
        <v>48</v>
      </c>
      <c r="E229" t="s">
        <v>365</v>
      </c>
      <c r="F229" t="s">
        <v>374</v>
      </c>
      <c r="G229" t="s">
        <v>45</v>
      </c>
      <c r="H229" t="s">
        <v>38</v>
      </c>
      <c r="I229" t="s">
        <v>377</v>
      </c>
      <c r="J229" t="s">
        <v>62</v>
      </c>
    </row>
  </sheetData>
  <autoFilter ref="A1:AO229" xr:uid="{00000000-0009-0000-0000-000000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Miguel Santos</cp:lastModifiedBy>
  <cp:revision>13</cp:revision>
  <dcterms:created xsi:type="dcterms:W3CDTF">2025-05-06T16:12:10Z</dcterms:created>
  <dcterms:modified xsi:type="dcterms:W3CDTF">2026-05-06T16:59:33Z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0x01010080A8E1DF2A1DC644AD3758195D19BCA4</vt:lpwstr>
  </property>
  <property fmtid="{D5CDD505-2E9C-101B-9397-08002B2CF9AE}" pid="3" name="MediaServiceImageTags">
    <vt:lpwstr/>
  </property>
</Properties>
</file>