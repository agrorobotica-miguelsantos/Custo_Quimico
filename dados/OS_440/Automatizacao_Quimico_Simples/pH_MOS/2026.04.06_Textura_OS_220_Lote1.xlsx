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Agroserver\gestao_projetos\08_Processo_Químico\02_Clientes\OS_220\Automatizacao_Quimico_Simples\pH_MOS\"/>
    </mc:Choice>
  </mc:AlternateContent>
  <xr:revisionPtr revIDLastSave="0" documentId="13_ncr:1_{FD5AAECF-8931-49FF-AD62-19D9A260716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1. Registro Técnico" sheetId="1" r:id="rId1"/>
    <sheet name="Recuperaçã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6" i="2" l="1"/>
  <c r="H23" i="1"/>
  <c r="I18" i="1" s="1"/>
  <c r="J18" i="1" s="1"/>
  <c r="E21" i="1"/>
  <c r="F21" i="1" s="1"/>
  <c r="F20" i="1"/>
  <c r="E20" i="1"/>
  <c r="F19" i="1"/>
  <c r="E19" i="1"/>
  <c r="E18" i="1"/>
  <c r="F18" i="1" s="1"/>
  <c r="E17" i="1"/>
  <c r="F17" i="1" s="1"/>
  <c r="E16" i="1"/>
  <c r="F16" i="1" s="1"/>
  <c r="E15" i="1"/>
  <c r="F15" i="1" s="1"/>
  <c r="F14" i="1"/>
  <c r="E14" i="1"/>
  <c r="I13" i="1"/>
  <c r="J13" i="1" s="1"/>
  <c r="E13" i="1"/>
  <c r="F13" i="1" s="1"/>
  <c r="E12" i="1"/>
  <c r="F12" i="1" s="1"/>
  <c r="E11" i="1"/>
  <c r="F11" i="1" s="1"/>
  <c r="B6" i="2" s="1"/>
  <c r="B7" i="2" s="1"/>
  <c r="E10" i="1"/>
  <c r="F10" i="1" s="1"/>
  <c r="I14" i="1" l="1"/>
  <c r="J14" i="1" s="1"/>
  <c r="K14" i="1" s="1"/>
  <c r="I19" i="1"/>
  <c r="J19" i="1" s="1"/>
  <c r="L19" i="1" s="1"/>
  <c r="M19" i="1" s="1"/>
  <c r="L13" i="1"/>
  <c r="M13" i="1" s="1"/>
  <c r="K13" i="1"/>
  <c r="K18" i="1"/>
  <c r="L18" i="1"/>
  <c r="M18" i="1" s="1"/>
  <c r="I15" i="1"/>
  <c r="J15" i="1" s="1"/>
  <c r="I23" i="1"/>
  <c r="J23" i="1" s="1"/>
  <c r="I11" i="1"/>
  <c r="J11" i="1" s="1"/>
  <c r="I17" i="1"/>
  <c r="J17" i="1" s="1"/>
  <c r="I20" i="1"/>
  <c r="J20" i="1" s="1"/>
  <c r="I21" i="1"/>
  <c r="J21" i="1" s="1"/>
  <c r="I10" i="1"/>
  <c r="J10" i="1" s="1"/>
  <c r="I16" i="1"/>
  <c r="J16" i="1" s="1"/>
  <c r="I12" i="1"/>
  <c r="J12" i="1" s="1"/>
  <c r="L14" i="1" l="1"/>
  <c r="M14" i="1" s="1"/>
  <c r="K19" i="1"/>
  <c r="K10" i="1"/>
  <c r="L10" i="1"/>
  <c r="M10" i="1" s="1"/>
  <c r="K11" i="1"/>
  <c r="D6" i="2" s="1"/>
  <c r="D7" i="2" s="1"/>
  <c r="L11" i="1"/>
  <c r="M11" i="1" s="1"/>
  <c r="F7" i="2" s="1"/>
  <c r="L15" i="1"/>
  <c r="M15" i="1" s="1"/>
  <c r="K15" i="1"/>
  <c r="L21" i="1"/>
  <c r="M21" i="1" s="1"/>
  <c r="K21" i="1"/>
  <c r="L20" i="1"/>
  <c r="M20" i="1" s="1"/>
  <c r="K20" i="1"/>
  <c r="L17" i="1"/>
  <c r="M17" i="1" s="1"/>
  <c r="K17" i="1"/>
  <c r="L12" i="1"/>
  <c r="M12" i="1" s="1"/>
  <c r="K12" i="1"/>
  <c r="K16" i="1"/>
  <c r="L16" i="1"/>
  <c r="M16" i="1" s="1"/>
  <c r="L23" i="1"/>
  <c r="M23" i="1" s="1"/>
  <c r="K23" i="1"/>
</calcChain>
</file>

<file path=xl/sharedStrings.xml><?xml version="1.0" encoding="utf-8"?>
<sst xmlns="http://schemas.openxmlformats.org/spreadsheetml/2006/main" count="53" uniqueCount="49">
  <si>
    <t>REGISTRO TÉCNICO – ANÁLISE DE TEXTURA</t>
  </si>
  <si>
    <t>CÓDIGO: FOR 7.5 - 0804</t>
  </si>
  <si>
    <t>REVISÃO
01</t>
  </si>
  <si>
    <t>Data</t>
  </si>
  <si>
    <t>Horário inicial</t>
  </si>
  <si>
    <t>Horário final</t>
  </si>
  <si>
    <t>Temperatura (°C)</t>
  </si>
  <si>
    <t>Umidade (%)</t>
  </si>
  <si>
    <t>Análise realizada por:</t>
  </si>
  <si>
    <t xml:space="preserve">Giovanna </t>
  </si>
  <si>
    <t>Assinatura do Responsável</t>
  </si>
  <si>
    <t>Vitor de Lima Ribeiro</t>
  </si>
  <si>
    <t>Amostra ID</t>
  </si>
  <si>
    <t>Nº proveta</t>
  </si>
  <si>
    <t>peso papel (g)</t>
  </si>
  <si>
    <t>papel + areia (g)</t>
  </si>
  <si>
    <t>areia (g)</t>
  </si>
  <si>
    <t>Areia (g/kg)</t>
  </si>
  <si>
    <t>latinha (g)</t>
  </si>
  <si>
    <t>latinha + argila (g)</t>
  </si>
  <si>
    <t>argila em 10mL (g)</t>
  </si>
  <si>
    <t>argila em 1L (g)</t>
  </si>
  <si>
    <t>Argila (g/kg)</t>
  </si>
  <si>
    <t>silte (g)</t>
  </si>
  <si>
    <t>Silte (g/kg)</t>
  </si>
  <si>
    <t>Branco 06/04/2026</t>
  </si>
  <si>
    <t>-</t>
  </si>
  <si>
    <t>t0001|220|01|A4</t>
  </si>
  <si>
    <t>t0001|220|01|A5</t>
  </si>
  <si>
    <t>t0001|220|01|A6</t>
  </si>
  <si>
    <t>t0001|220|02|A3</t>
  </si>
  <si>
    <t>t0001|220|02|A4</t>
  </si>
  <si>
    <t>t0001|220|02|A7</t>
  </si>
  <si>
    <t>t0001|220|03|A2</t>
  </si>
  <si>
    <t>t0001|220|03|A5</t>
  </si>
  <si>
    <t>t0001|220|04|A3</t>
  </si>
  <si>
    <t>t0001|220|04|A4</t>
  </si>
  <si>
    <t>Branco</t>
  </si>
  <si>
    <t>Legenda</t>
  </si>
  <si>
    <t>Areia</t>
  </si>
  <si>
    <t>Argila</t>
  </si>
  <si>
    <t>Silte</t>
  </si>
  <si>
    <t>PL 350</t>
  </si>
  <si>
    <t>1ª Leitura</t>
  </si>
  <si>
    <t>Mínimo</t>
  </si>
  <si>
    <t>Média</t>
  </si>
  <si>
    <t>Máximo</t>
  </si>
  <si>
    <t>Experimental</t>
  </si>
  <si>
    <t>Recuperação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</si>
</sst>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"/>
    <numFmt numFmtId="165" formatCode="#,##0.0"/>
    <numFmt numFmtId="166" formatCode="0.0"/>
    <numFmt numFmtId="167" formatCode="0.0000"/>
    <numFmt numFmtId="168" formatCode="_-* #,##0.00_-;\-* #,##0.00_-;_-* \-??_-;_-@_-"/>
    <numFmt numFmtId="169" formatCode="d/m/yyyy"/>
  </numFmts>
  <fonts count="14" x14ac:knownFonts="1">
    <font>
      <sz val="10"/>
      <color rgb="FF000000"/>
      <name val="Arial"/>
      <charset val="1"/>
    </font>
    <font>
      <sz val="11"/>
      <color rgb="FF000000"/>
      <name val="Calibri"/>
      <family val="2"/>
      <charset val="1"/>
    </font>
    <font>
      <b/>
      <sz val="13"/>
      <color rgb="FF000000"/>
      <name val="Calibri"/>
      <family val="2"/>
      <charset val="1"/>
    </font>
    <font>
      <b/>
      <sz val="14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family val="2"/>
      <charset val="1"/>
    </font>
    <font>
      <b/>
      <sz val="11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0"/>
      <color rgb="FF000000"/>
      <name val="Aptos Narrow"/>
      <family val="2"/>
      <charset val="1"/>
    </font>
    <font>
      <sz val="10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CE5CD"/>
      </patternFill>
    </fill>
    <fill>
      <patternFill patternType="solid">
        <fgColor rgb="FF77BC65"/>
        <bgColor rgb="FF99CC00"/>
      </patternFill>
    </fill>
    <fill>
      <patternFill patternType="solid">
        <fgColor rgb="FFFFE599"/>
        <bgColor rgb="FFFCE5CD"/>
      </patternFill>
    </fill>
    <fill>
      <patternFill patternType="solid">
        <fgColor rgb="FFCC4125"/>
        <bgColor rgb="FF993366"/>
      </patternFill>
    </fill>
    <fill>
      <patternFill patternType="solid">
        <fgColor rgb="FFFCE5CD"/>
        <bgColor rgb="FFFFE599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168" fontId="5" fillId="0" borderId="0" applyBorder="0" applyProtection="0"/>
    <xf numFmtId="9" fontId="13" fillId="0" borderId="0" applyBorder="0" applyProtection="0"/>
  </cellStyleXfs>
  <cellXfs count="60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0" fillId="0" borderId="0" xfId="0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vertical="center"/>
      <protection locked="0"/>
    </xf>
    <xf numFmtId="21" fontId="1" fillId="0" borderId="1" xfId="0" applyNumberFormat="1" applyFont="1" applyBorder="1" applyAlignment="1" applyProtection="1">
      <alignment horizontal="center" vertical="center"/>
      <protection locked="0"/>
    </xf>
    <xf numFmtId="21" fontId="5" fillId="0" borderId="1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2" borderId="0" xfId="0" applyFill="1" applyProtection="1">
      <protection locked="0"/>
    </xf>
    <xf numFmtId="1" fontId="0" fillId="2" borderId="0" xfId="0" applyNumberFormat="1" applyFill="1" applyProtection="1">
      <protection locked="0"/>
    </xf>
    <xf numFmtId="0" fontId="0" fillId="2" borderId="2" xfId="0" applyFill="1" applyBorder="1" applyProtection="1">
      <protection locked="0"/>
    </xf>
    <xf numFmtId="0" fontId="6" fillId="0" borderId="0" xfId="0" applyFont="1" applyProtection="1">
      <protection locked="0"/>
    </xf>
    <xf numFmtId="0" fontId="7" fillId="3" borderId="3" xfId="0" applyFont="1" applyFill="1" applyBorder="1" applyAlignment="1" applyProtection="1">
      <alignment horizontal="center" vertical="center" wrapText="1"/>
      <protection locked="0"/>
    </xf>
    <xf numFmtId="1" fontId="7" fillId="3" borderId="3" xfId="0" applyNumberFormat="1" applyFont="1" applyFill="1" applyBorder="1" applyAlignment="1" applyProtection="1">
      <alignment horizontal="center" vertical="center" wrapText="1"/>
      <protection locked="0"/>
    </xf>
    <xf numFmtId="165" fontId="7" fillId="3" borderId="3" xfId="0" applyNumberFormat="1" applyFont="1" applyFill="1" applyBorder="1" applyAlignment="1" applyProtection="1">
      <alignment horizontal="center" vertical="center" wrapText="1"/>
      <protection locked="0"/>
    </xf>
    <xf numFmtId="166" fontId="7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/>
      <protection locked="0"/>
    </xf>
    <xf numFmtId="1" fontId="6" fillId="0" borderId="1" xfId="0" applyNumberFormat="1" applyFont="1" applyBorder="1" applyAlignment="1" applyProtection="1">
      <alignment horizontal="center"/>
      <protection locked="0"/>
    </xf>
    <xf numFmtId="167" fontId="6" fillId="2" borderId="1" xfId="0" applyNumberFormat="1" applyFont="1" applyFill="1" applyBorder="1" applyAlignment="1" applyProtection="1">
      <alignment horizontal="center"/>
      <protection locked="0"/>
    </xf>
    <xf numFmtId="167" fontId="6" fillId="4" borderId="1" xfId="0" applyNumberFormat="1" applyFont="1" applyFill="1" applyBorder="1" applyAlignment="1" applyProtection="1">
      <alignment horizontal="center"/>
      <protection locked="0"/>
    </xf>
    <xf numFmtId="167" fontId="6" fillId="5" borderId="1" xfId="0" applyNumberFormat="1" applyFont="1" applyFill="1" applyBorder="1" applyAlignment="1" applyProtection="1">
      <alignment horizontal="center"/>
      <protection locked="0"/>
    </xf>
    <xf numFmtId="167" fontId="6" fillId="6" borderId="1" xfId="0" applyNumberFormat="1" applyFont="1" applyFill="1" applyBorder="1" applyAlignment="1" applyProtection="1">
      <alignment horizontal="center"/>
      <protection locked="0"/>
    </xf>
    <xf numFmtId="0" fontId="8" fillId="0" borderId="1" xfId="0" applyFont="1" applyBorder="1" applyAlignment="1">
      <alignment horizontal="center"/>
    </xf>
    <xf numFmtId="167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6" fillId="0" borderId="0" xfId="0" applyNumberFormat="1" applyFont="1" applyAlignment="1" applyProtection="1">
      <alignment horizontal="center"/>
      <protection locked="0"/>
    </xf>
    <xf numFmtId="0" fontId="6" fillId="0" borderId="4" xfId="0" applyFont="1" applyBorder="1" applyProtection="1">
      <protection locked="0"/>
    </xf>
    <xf numFmtId="0" fontId="9" fillId="2" borderId="5" xfId="0" applyFont="1" applyFill="1" applyBorder="1" applyProtection="1">
      <protection locked="0"/>
    </xf>
    <xf numFmtId="0" fontId="6" fillId="2" borderId="6" xfId="0" applyFont="1" applyFill="1" applyBorder="1" applyProtection="1">
      <protection locked="0"/>
    </xf>
    <xf numFmtId="167" fontId="6" fillId="3" borderId="1" xfId="0" applyNumberFormat="1" applyFont="1" applyFill="1" applyBorder="1" applyAlignment="1" applyProtection="1">
      <alignment horizontal="center"/>
      <protection locked="0"/>
    </xf>
    <xf numFmtId="1" fontId="6" fillId="5" borderId="1" xfId="0" applyNumberFormat="1" applyFont="1" applyFill="1" applyBorder="1" applyAlignment="1" applyProtection="1">
      <alignment horizontal="center"/>
      <protection locked="0"/>
    </xf>
    <xf numFmtId="168" fontId="6" fillId="2" borderId="1" xfId="1" applyFont="1" applyFill="1" applyBorder="1" applyAlignment="1" applyProtection="1">
      <alignment horizontal="center"/>
      <protection locked="0"/>
    </xf>
    <xf numFmtId="1" fontId="6" fillId="6" borderId="1" xfId="0" applyNumberFormat="1" applyFont="1" applyFill="1" applyBorder="1" applyAlignment="1" applyProtection="1">
      <alignment horizontal="center"/>
      <protection locked="0"/>
    </xf>
    <xf numFmtId="1" fontId="6" fillId="0" borderId="7" xfId="0" applyNumberFormat="1" applyFont="1" applyBorder="1" applyProtection="1">
      <protection locked="0"/>
    </xf>
    <xf numFmtId="1" fontId="6" fillId="0" borderId="0" xfId="0" applyNumberFormat="1" applyFont="1" applyProtection="1">
      <protection locked="0"/>
    </xf>
    <xf numFmtId="0" fontId="10" fillId="0" borderId="8" xfId="0" applyFont="1" applyBorder="1" applyAlignment="1">
      <alignment horizontal="center" vertical="center"/>
    </xf>
    <xf numFmtId="169" fontId="10" fillId="0" borderId="9" xfId="0" applyNumberFormat="1" applyFont="1" applyBorder="1" applyAlignment="1">
      <alignment horizontal="center" vertical="center"/>
    </xf>
    <xf numFmtId="169" fontId="10" fillId="0" borderId="10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1" fontId="11" fillId="0" borderId="0" xfId="0" applyNumberFormat="1" applyFont="1" applyAlignment="1">
      <alignment horizontal="center" vertical="center"/>
    </xf>
    <xf numFmtId="1" fontId="11" fillId="0" borderId="14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9" fontId="12" fillId="0" borderId="9" xfId="2" applyFont="1" applyBorder="1" applyAlignment="1" applyProtection="1">
      <alignment horizontal="center" vertical="center"/>
    </xf>
    <xf numFmtId="0" fontId="0" fillId="0" borderId="9" xfId="0" applyBorder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 applyProtection="1">
      <alignment horizontal="center" vertical="center"/>
      <protection locked="0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CC4125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138960</xdr:colOff>
      <xdr:row>0</xdr:row>
      <xdr:rowOff>143280</xdr:rowOff>
    </xdr:from>
    <xdr:to>
      <xdr:col>0</xdr:col>
      <xdr:colOff>2118240</xdr:colOff>
      <xdr:row>3</xdr:row>
      <xdr:rowOff>35640</xdr:rowOff>
    </xdr:to>
    <xdr:pic>
      <xdr:nvPicPr>
        <xdr:cNvPr id="2" name="Figura 2_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38960" y="143280"/>
          <a:ext cx="1979280" cy="46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76680</xdr:colOff>
      <xdr:row>32</xdr:row>
      <xdr:rowOff>33480</xdr:rowOff>
    </xdr:from>
    <xdr:to>
      <xdr:col>11</xdr:col>
      <xdr:colOff>226800</xdr:colOff>
      <xdr:row>36</xdr:row>
      <xdr:rowOff>173880</xdr:rowOff>
    </xdr:to>
    <xdr:pic>
      <xdr:nvPicPr>
        <xdr:cNvPr id="3" name="Imagem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 rot="19996800">
          <a:off x="7024320" y="6414840"/>
          <a:ext cx="6673320" cy="864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949"/>
  <sheetViews>
    <sheetView tabSelected="1" zoomScale="120" zoomScaleNormal="120" workbookViewId="0">
      <pane xSplit="1" topLeftCell="B1" activePane="topRight" state="frozen"/>
      <selection pane="topRight" activeCell="C26" sqref="C26"/>
    </sheetView>
  </sheetViews>
  <sheetFormatPr defaultColWidth="14.42578125" defaultRowHeight="12.75" x14ac:dyDescent="0.2"/>
  <cols>
    <col min="1" max="1" width="45.28515625" style="2" customWidth="1"/>
    <col min="2" max="2" width="8.85546875" style="3" customWidth="1"/>
    <col min="3" max="3" width="15.7109375" style="2" customWidth="1"/>
    <col min="4" max="4" width="17.42578125" style="2" customWidth="1"/>
    <col min="5" max="5" width="11.28515625" style="2" customWidth="1"/>
    <col min="6" max="6" width="13.7109375" style="2" customWidth="1"/>
    <col min="7" max="7" width="15.7109375" style="2" customWidth="1"/>
    <col min="8" max="8" width="18.5703125" style="2" customWidth="1"/>
    <col min="9" max="9" width="12.7109375" style="2" customWidth="1"/>
    <col min="10" max="10" width="17.42578125" style="2" customWidth="1"/>
    <col min="11" max="11" width="14.42578125" style="2"/>
    <col min="12" max="12" width="13.28515625" style="2" customWidth="1"/>
    <col min="13" max="13" width="14.85546875" style="2" customWidth="1"/>
    <col min="14" max="14" width="14.42578125" style="2"/>
    <col min="15" max="15" width="19.28515625" style="2" customWidth="1"/>
    <col min="16" max="16" width="12.5703125" style="2" customWidth="1"/>
    <col min="17" max="17" width="8.5703125" style="2" customWidth="1"/>
    <col min="18" max="1023" width="14.42578125" style="2"/>
    <col min="1024" max="1024" width="11.5703125" style="2" customWidth="1"/>
  </cols>
  <sheetData>
    <row r="1" spans="1:966" ht="15" customHeight="1" x14ac:dyDescent="0.2">
      <c r="A1" s="56"/>
      <c r="B1" s="56"/>
      <c r="C1" s="57" t="s">
        <v>0</v>
      </c>
      <c r="D1" s="57"/>
      <c r="E1" s="57"/>
      <c r="F1" s="57"/>
      <c r="G1" s="57"/>
      <c r="H1" s="57"/>
      <c r="I1" s="57"/>
      <c r="J1" s="57"/>
      <c r="K1" s="57"/>
      <c r="L1" s="58" t="s">
        <v>1</v>
      </c>
      <c r="M1" s="58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</row>
    <row r="2" spans="1:966" ht="15" customHeight="1" x14ac:dyDescent="0.2">
      <c r="A2" s="56"/>
      <c r="B2" s="56"/>
      <c r="C2" s="57"/>
      <c r="D2" s="57"/>
      <c r="E2" s="57"/>
      <c r="F2" s="57"/>
      <c r="G2" s="57"/>
      <c r="H2" s="57"/>
      <c r="I2" s="57"/>
      <c r="J2" s="57"/>
      <c r="K2" s="57"/>
      <c r="L2" s="58"/>
      <c r="M2" s="58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</row>
    <row r="3" spans="1:966" ht="15" customHeight="1" x14ac:dyDescent="0.2">
      <c r="A3" s="56"/>
      <c r="B3" s="56"/>
      <c r="C3" s="57"/>
      <c r="D3" s="57"/>
      <c r="E3" s="57"/>
      <c r="F3" s="57"/>
      <c r="G3" s="57"/>
      <c r="H3" s="57"/>
      <c r="I3" s="57"/>
      <c r="J3" s="57"/>
      <c r="K3" s="57"/>
      <c r="L3" s="58" t="s">
        <v>2</v>
      </c>
      <c r="M3" s="58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</row>
    <row r="4" spans="1:966" ht="23.25" customHeight="1" x14ac:dyDescent="0.2">
      <c r="A4" s="56"/>
      <c r="B4" s="56"/>
      <c r="C4" s="57"/>
      <c r="D4" s="57"/>
      <c r="E4" s="57"/>
      <c r="F4" s="57"/>
      <c r="G4" s="57"/>
      <c r="H4" s="57"/>
      <c r="I4" s="57"/>
      <c r="J4" s="57"/>
      <c r="K4" s="57"/>
      <c r="L4" s="58"/>
      <c r="M4" s="58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</row>
    <row r="5" spans="1:966" ht="24" customHeight="1" x14ac:dyDescent="0.2">
      <c r="A5" s="54" t="s">
        <v>3</v>
      </c>
      <c r="B5" s="54"/>
      <c r="C5" s="54"/>
      <c r="D5" s="59">
        <v>46120</v>
      </c>
      <c r="E5" s="59"/>
      <c r="F5" s="1" t="s">
        <v>4</v>
      </c>
      <c r="G5" s="5">
        <v>0.66666666666666696</v>
      </c>
      <c r="H5" s="1" t="s">
        <v>5</v>
      </c>
      <c r="I5" s="6">
        <v>0.421527777777778</v>
      </c>
      <c r="J5" s="1" t="s">
        <v>6</v>
      </c>
      <c r="K5" s="7">
        <v>22.5</v>
      </c>
      <c r="L5" s="1" t="s">
        <v>7</v>
      </c>
      <c r="M5" s="8">
        <v>46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</row>
    <row r="6" spans="1:966" ht="19.5" customHeight="1" x14ac:dyDescent="0.2">
      <c r="A6" s="54" t="s">
        <v>8</v>
      </c>
      <c r="B6" s="54"/>
      <c r="C6" s="54"/>
      <c r="D6" s="55" t="s">
        <v>9</v>
      </c>
      <c r="E6" s="55"/>
      <c r="F6" s="55"/>
      <c r="G6" s="55"/>
      <c r="H6" s="55"/>
      <c r="I6" s="55"/>
      <c r="J6" s="55"/>
      <c r="K6" s="55"/>
      <c r="L6" s="55"/>
      <c r="M6" s="55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</row>
    <row r="7" spans="1:966" ht="19.5" customHeight="1" x14ac:dyDescent="0.2">
      <c r="A7" s="54" t="s">
        <v>10</v>
      </c>
      <c r="B7" s="54"/>
      <c r="C7" s="54"/>
      <c r="D7" s="55" t="s">
        <v>11</v>
      </c>
      <c r="E7" s="55"/>
      <c r="F7" s="55"/>
      <c r="G7" s="55"/>
      <c r="H7" s="55"/>
      <c r="I7" s="55"/>
      <c r="J7" s="55"/>
      <c r="K7" s="55"/>
      <c r="L7" s="55"/>
      <c r="M7" s="55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</row>
    <row r="8" spans="1:966" ht="14.25" x14ac:dyDescent="0.2">
      <c r="A8" s="9"/>
      <c r="B8" s="10"/>
      <c r="C8" s="9"/>
      <c r="D8" s="9"/>
      <c r="E8" s="9"/>
      <c r="F8" s="9"/>
      <c r="G8" s="9"/>
      <c r="H8" s="9"/>
      <c r="I8" s="9"/>
      <c r="J8" s="9"/>
      <c r="K8" s="9"/>
      <c r="L8" s="9"/>
      <c r="M8" s="11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spans="1:966" ht="30.75" customHeight="1" x14ac:dyDescent="0.2">
      <c r="A9" s="13" t="s">
        <v>12</v>
      </c>
      <c r="B9" s="14" t="s">
        <v>13</v>
      </c>
      <c r="C9" s="13" t="s">
        <v>14</v>
      </c>
      <c r="D9" s="13" t="s">
        <v>15</v>
      </c>
      <c r="E9" s="13" t="s">
        <v>16</v>
      </c>
      <c r="F9" s="15" t="s">
        <v>17</v>
      </c>
      <c r="G9" s="13" t="s">
        <v>18</v>
      </c>
      <c r="H9" s="13" t="s">
        <v>19</v>
      </c>
      <c r="I9" s="13" t="s">
        <v>20</v>
      </c>
      <c r="J9" s="13" t="s">
        <v>21</v>
      </c>
      <c r="K9" s="15" t="s">
        <v>22</v>
      </c>
      <c r="L9" s="13" t="s">
        <v>23</v>
      </c>
      <c r="M9" s="16" t="s">
        <v>24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spans="1:966" ht="15.75" x14ac:dyDescent="0.25">
      <c r="A10" s="17" t="s">
        <v>25</v>
      </c>
      <c r="B10" s="18">
        <v>1</v>
      </c>
      <c r="C10" s="19" t="s">
        <v>26</v>
      </c>
      <c r="D10" s="19" t="s">
        <v>26</v>
      </c>
      <c r="E10" s="19" t="e">
        <f t="shared" ref="E10:E21" si="0">D10-C10</f>
        <v>#VALUE!</v>
      </c>
      <c r="F10" s="20" t="e">
        <f t="shared" ref="F10:F21" si="1">E10*100</f>
        <v>#VALUE!</v>
      </c>
      <c r="G10" s="19">
        <v>11.1805</v>
      </c>
      <c r="H10" s="19">
        <v>11.1831</v>
      </c>
      <c r="I10" s="19">
        <f t="shared" ref="I10:I21" si="2">H10-G10-H$23</f>
        <v>0</v>
      </c>
      <c r="J10" s="19">
        <f t="shared" ref="J10:K21" si="3">I10*100</f>
        <v>0</v>
      </c>
      <c r="K10" s="21">
        <f t="shared" si="3"/>
        <v>0</v>
      </c>
      <c r="L10" s="19" t="e">
        <f t="shared" ref="L10:L21" si="4">10-J10-E10</f>
        <v>#VALUE!</v>
      </c>
      <c r="M10" s="22" t="e">
        <f t="shared" ref="M10:M21" si="5">L10*100</f>
        <v>#VALUE!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966" ht="15.75" x14ac:dyDescent="0.25">
      <c r="A11" s="17" t="s">
        <v>42</v>
      </c>
      <c r="B11" s="18">
        <v>2</v>
      </c>
      <c r="C11" s="19">
        <v>1.0002</v>
      </c>
      <c r="D11" s="19">
        <v>2.4011999999999998</v>
      </c>
      <c r="E11" s="19">
        <f t="shared" si="0"/>
        <v>1.4009999999999998</v>
      </c>
      <c r="F11" s="20">
        <f t="shared" si="1"/>
        <v>140.09999999999997</v>
      </c>
      <c r="G11" s="19">
        <v>11.782999999999999</v>
      </c>
      <c r="H11" s="19">
        <v>11.861499999999999</v>
      </c>
      <c r="I11" s="19">
        <f t="shared" si="2"/>
        <v>7.5900000000000745E-2</v>
      </c>
      <c r="J11" s="19">
        <f t="shared" si="3"/>
        <v>7.5900000000000745</v>
      </c>
      <c r="K11" s="21">
        <f t="shared" si="3"/>
        <v>759.0000000000075</v>
      </c>
      <c r="L11" s="19">
        <f t="shared" si="4"/>
        <v>1.0089999999999257</v>
      </c>
      <c r="M11" s="22">
        <f t="shared" si="5"/>
        <v>100.89999999999257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966" ht="14.25" x14ac:dyDescent="0.2">
      <c r="A12" s="23" t="s">
        <v>27</v>
      </c>
      <c r="B12" s="18">
        <v>3</v>
      </c>
      <c r="C12" s="19">
        <v>1.006</v>
      </c>
      <c r="D12" s="19">
        <v>8.6280999999999999</v>
      </c>
      <c r="E12" s="19">
        <f t="shared" si="0"/>
        <v>7.6220999999999997</v>
      </c>
      <c r="F12" s="20">
        <f t="shared" si="1"/>
        <v>762.20999999999992</v>
      </c>
      <c r="G12" s="19">
        <v>11.133100000000001</v>
      </c>
      <c r="H12" s="24">
        <v>11.1564</v>
      </c>
      <c r="I12" s="19">
        <f t="shared" si="2"/>
        <v>2.0699999999999719E-2</v>
      </c>
      <c r="J12" s="19">
        <f t="shared" si="3"/>
        <v>2.0699999999999719</v>
      </c>
      <c r="K12" s="21">
        <f t="shared" si="3"/>
        <v>206.99999999999719</v>
      </c>
      <c r="L12" s="19">
        <f t="shared" si="4"/>
        <v>0.30790000000002848</v>
      </c>
      <c r="M12" s="22">
        <f t="shared" si="5"/>
        <v>30.790000000002848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1:966" ht="14.25" x14ac:dyDescent="0.2">
      <c r="A13" s="23" t="s">
        <v>28</v>
      </c>
      <c r="B13" s="18">
        <v>4</v>
      </c>
      <c r="C13" s="19">
        <v>0.99609999999999999</v>
      </c>
      <c r="D13" s="19">
        <v>3.4022999999999999</v>
      </c>
      <c r="E13" s="19">
        <f t="shared" si="0"/>
        <v>2.4062000000000001</v>
      </c>
      <c r="F13" s="20">
        <f t="shared" si="1"/>
        <v>240.62</v>
      </c>
      <c r="G13" s="19">
        <v>11.382199999999999</v>
      </c>
      <c r="H13" s="24">
        <v>11.441599999999999</v>
      </c>
      <c r="I13" s="19">
        <f t="shared" si="2"/>
        <v>5.680000000000085E-2</v>
      </c>
      <c r="J13" s="19">
        <f t="shared" si="3"/>
        <v>5.680000000000085</v>
      </c>
      <c r="K13" s="21">
        <f t="shared" si="3"/>
        <v>568.00000000000853</v>
      </c>
      <c r="L13" s="19">
        <f t="shared" si="4"/>
        <v>1.9137999999999149</v>
      </c>
      <c r="M13" s="22">
        <f t="shared" si="5"/>
        <v>191.3799999999915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966" ht="14.25" x14ac:dyDescent="0.2">
      <c r="A14" s="23" t="s">
        <v>29</v>
      </c>
      <c r="B14" s="18">
        <v>5</v>
      </c>
      <c r="C14" s="19">
        <v>1.0164</v>
      </c>
      <c r="D14" s="19">
        <v>7.87</v>
      </c>
      <c r="E14" s="19">
        <f t="shared" si="0"/>
        <v>6.8536000000000001</v>
      </c>
      <c r="F14" s="20">
        <f t="shared" si="1"/>
        <v>685.36</v>
      </c>
      <c r="G14" s="19">
        <v>10.8871</v>
      </c>
      <c r="H14" s="24">
        <v>10.9176</v>
      </c>
      <c r="I14" s="19">
        <f t="shared" si="2"/>
        <v>2.7900000000000702E-2</v>
      </c>
      <c r="J14" s="19">
        <f t="shared" si="3"/>
        <v>2.7900000000000702</v>
      </c>
      <c r="K14" s="21">
        <f t="shared" si="3"/>
        <v>279.00000000000705</v>
      </c>
      <c r="L14" s="19">
        <f t="shared" si="4"/>
        <v>0.35639999999992966</v>
      </c>
      <c r="M14" s="22">
        <f t="shared" si="5"/>
        <v>35.639999999992966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spans="1:966" ht="14.25" x14ac:dyDescent="0.2">
      <c r="A15" s="23" t="s">
        <v>30</v>
      </c>
      <c r="B15" s="18">
        <v>6</v>
      </c>
      <c r="C15" s="19">
        <v>1.0258</v>
      </c>
      <c r="D15" s="19">
        <v>8.8838000000000008</v>
      </c>
      <c r="E15" s="19">
        <f t="shared" si="0"/>
        <v>7.8580000000000005</v>
      </c>
      <c r="F15" s="20">
        <f t="shared" si="1"/>
        <v>785.80000000000007</v>
      </c>
      <c r="G15" s="19">
        <v>10.7256</v>
      </c>
      <c r="H15" s="24">
        <v>10.7471</v>
      </c>
      <c r="I15" s="19">
        <f t="shared" si="2"/>
        <v>1.8900000000000361E-2</v>
      </c>
      <c r="J15" s="19">
        <f t="shared" si="3"/>
        <v>1.8900000000000361</v>
      </c>
      <c r="K15" s="21">
        <f t="shared" si="3"/>
        <v>189.00000000000361</v>
      </c>
      <c r="L15" s="19">
        <f t="shared" si="4"/>
        <v>0.25199999999996336</v>
      </c>
      <c r="M15" s="22">
        <f t="shared" si="5"/>
        <v>25.199999999996336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966" ht="14.25" x14ac:dyDescent="0.2">
      <c r="A16" s="23" t="s">
        <v>31</v>
      </c>
      <c r="B16" s="18">
        <v>7</v>
      </c>
      <c r="C16" s="19">
        <v>0.997</v>
      </c>
      <c r="D16" s="19">
        <v>5.8216999999999999</v>
      </c>
      <c r="E16" s="19">
        <f t="shared" si="0"/>
        <v>4.8247</v>
      </c>
      <c r="F16" s="20">
        <f t="shared" si="1"/>
        <v>482.47</v>
      </c>
      <c r="G16" s="19">
        <v>11.1317</v>
      </c>
      <c r="H16" s="24">
        <v>11.1717</v>
      </c>
      <c r="I16" s="19">
        <f t="shared" si="2"/>
        <v>3.7399999999999878E-2</v>
      </c>
      <c r="J16" s="19">
        <f t="shared" si="3"/>
        <v>3.7399999999999878</v>
      </c>
      <c r="K16" s="21">
        <f t="shared" si="3"/>
        <v>373.99999999999875</v>
      </c>
      <c r="L16" s="19">
        <f t="shared" si="4"/>
        <v>1.4353000000000122</v>
      </c>
      <c r="M16" s="22">
        <f t="shared" si="5"/>
        <v>143.53000000000122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spans="1:25" ht="14.25" x14ac:dyDescent="0.2">
      <c r="A17" s="23" t="s">
        <v>32</v>
      </c>
      <c r="B17" s="18">
        <v>8</v>
      </c>
      <c r="C17" s="19">
        <v>1.0008999999999999</v>
      </c>
      <c r="D17" s="19">
        <v>7.3181000000000003</v>
      </c>
      <c r="E17" s="19">
        <f t="shared" si="0"/>
        <v>6.3172000000000006</v>
      </c>
      <c r="F17" s="20">
        <f t="shared" si="1"/>
        <v>631.72</v>
      </c>
      <c r="G17" s="19">
        <v>11.488799999999999</v>
      </c>
      <c r="H17" s="19">
        <v>11.519399999999999</v>
      </c>
      <c r="I17" s="19">
        <f t="shared" si="2"/>
        <v>2.8000000000000469E-2</v>
      </c>
      <c r="J17" s="19">
        <f t="shared" si="3"/>
        <v>2.8000000000000469</v>
      </c>
      <c r="K17" s="21">
        <f t="shared" si="3"/>
        <v>280.00000000000466</v>
      </c>
      <c r="L17" s="19">
        <f t="shared" si="4"/>
        <v>0.88279999999995251</v>
      </c>
      <c r="M17" s="22">
        <f t="shared" si="5"/>
        <v>88.279999999995255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spans="1:25" ht="14.25" x14ac:dyDescent="0.2">
      <c r="A18" s="23" t="s">
        <v>33</v>
      </c>
      <c r="B18" s="18">
        <v>9</v>
      </c>
      <c r="C18" s="19">
        <v>1.0221</v>
      </c>
      <c r="D18" s="19">
        <v>7.6134000000000004</v>
      </c>
      <c r="E18" s="19">
        <f t="shared" si="0"/>
        <v>6.5913000000000004</v>
      </c>
      <c r="F18" s="20">
        <f t="shared" si="1"/>
        <v>659.13</v>
      </c>
      <c r="G18" s="19">
        <v>10.910399999999999</v>
      </c>
      <c r="H18" s="19">
        <v>10.943199999999999</v>
      </c>
      <c r="I18" s="19">
        <f t="shared" si="2"/>
        <v>3.0200000000000671E-2</v>
      </c>
      <c r="J18" s="19">
        <f t="shared" si="3"/>
        <v>3.0200000000000671</v>
      </c>
      <c r="K18" s="21">
        <f t="shared" si="3"/>
        <v>302.00000000000671</v>
      </c>
      <c r="L18" s="19">
        <f t="shared" si="4"/>
        <v>0.38869999999993254</v>
      </c>
      <c r="M18" s="22">
        <f t="shared" si="5"/>
        <v>38.869999999993254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 ht="14.25" x14ac:dyDescent="0.2">
      <c r="A19" s="23" t="s">
        <v>34</v>
      </c>
      <c r="B19" s="18">
        <v>10</v>
      </c>
      <c r="C19" s="19">
        <v>1.0176000000000001</v>
      </c>
      <c r="D19" s="19">
        <v>3.7073</v>
      </c>
      <c r="E19" s="19">
        <f t="shared" si="0"/>
        <v>2.6897000000000002</v>
      </c>
      <c r="F19" s="20">
        <f t="shared" si="1"/>
        <v>268.97000000000003</v>
      </c>
      <c r="G19" s="19">
        <v>10.3813</v>
      </c>
      <c r="H19" s="19">
        <v>10.4344</v>
      </c>
      <c r="I19" s="19">
        <f t="shared" si="2"/>
        <v>5.0500000000001322E-2</v>
      </c>
      <c r="J19" s="19">
        <f t="shared" si="3"/>
        <v>5.0500000000001322</v>
      </c>
      <c r="K19" s="21">
        <f t="shared" si="3"/>
        <v>505.00000000001319</v>
      </c>
      <c r="L19" s="19">
        <f t="shared" si="4"/>
        <v>2.2602999999998676</v>
      </c>
      <c r="M19" s="22">
        <f t="shared" si="5"/>
        <v>226.02999999998676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 ht="14.25" x14ac:dyDescent="0.2">
      <c r="A20" s="23" t="s">
        <v>35</v>
      </c>
      <c r="B20" s="18">
        <v>11</v>
      </c>
      <c r="C20" s="19">
        <v>1.0197000000000001</v>
      </c>
      <c r="D20" s="19">
        <v>1.702</v>
      </c>
      <c r="E20" s="19">
        <f t="shared" si="0"/>
        <v>0.68229999999999991</v>
      </c>
      <c r="F20" s="20">
        <f t="shared" si="1"/>
        <v>68.22999999999999</v>
      </c>
      <c r="G20" s="19">
        <v>10.2112</v>
      </c>
      <c r="H20" s="19">
        <v>10.286099999999999</v>
      </c>
      <c r="I20" s="19">
        <f t="shared" si="2"/>
        <v>7.2300000000000253E-2</v>
      </c>
      <c r="J20" s="19">
        <f t="shared" si="3"/>
        <v>7.2300000000000253</v>
      </c>
      <c r="K20" s="21">
        <f t="shared" si="3"/>
        <v>723.0000000000025</v>
      </c>
      <c r="L20" s="19">
        <f t="shared" si="4"/>
        <v>2.087699999999975</v>
      </c>
      <c r="M20" s="22">
        <f t="shared" si="5"/>
        <v>208.76999999999751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ht="14.25" x14ac:dyDescent="0.2">
      <c r="A21" s="23" t="s">
        <v>36</v>
      </c>
      <c r="B21" s="18">
        <v>12</v>
      </c>
      <c r="C21" s="19">
        <v>1.02</v>
      </c>
      <c r="D21" s="19">
        <v>1.8647</v>
      </c>
      <c r="E21" s="19">
        <f t="shared" si="0"/>
        <v>0.84470000000000001</v>
      </c>
      <c r="F21" s="20">
        <f t="shared" si="1"/>
        <v>84.47</v>
      </c>
      <c r="G21" s="19">
        <v>11.1366</v>
      </c>
      <c r="H21" s="19">
        <v>11.208299999999999</v>
      </c>
      <c r="I21" s="19">
        <f t="shared" si="2"/>
        <v>6.9100000000000605E-2</v>
      </c>
      <c r="J21" s="19">
        <f t="shared" si="3"/>
        <v>6.9100000000000605</v>
      </c>
      <c r="K21" s="21">
        <f t="shared" si="3"/>
        <v>691.00000000000603</v>
      </c>
      <c r="L21" s="19">
        <f t="shared" si="4"/>
        <v>2.2452999999999395</v>
      </c>
      <c r="M21" s="22">
        <f t="shared" si="5"/>
        <v>224.52999999999395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ht="14.25" x14ac:dyDescent="0.2">
      <c r="A22" s="25"/>
      <c r="B22" s="2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27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ht="15" x14ac:dyDescent="0.25">
      <c r="A23" s="28" t="s">
        <v>37</v>
      </c>
      <c r="B23" s="26"/>
      <c r="C23" s="29"/>
      <c r="D23" s="29"/>
      <c r="E23" s="29"/>
      <c r="F23" s="29"/>
      <c r="G23" s="29"/>
      <c r="H23" s="30">
        <f>H10-G10</f>
        <v>2.5999999999992696E-3</v>
      </c>
      <c r="I23" s="19">
        <f>H23-G23-$H$23</f>
        <v>0</v>
      </c>
      <c r="J23" s="19">
        <f>I23*100</f>
        <v>0</v>
      </c>
      <c r="K23" s="31">
        <f>J23*100</f>
        <v>0</v>
      </c>
      <c r="L23" s="32">
        <f>10-J23-E23</f>
        <v>10</v>
      </c>
      <c r="M23" s="33">
        <f>L23*100</f>
        <v>1000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ht="14.25" x14ac:dyDescent="0.2">
      <c r="A24" s="12"/>
      <c r="B24" s="3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1:25" ht="14.25" x14ac:dyDescent="0.2">
      <c r="A25" s="12"/>
      <c r="B25" s="35"/>
      <c r="C25" s="12"/>
      <c r="D25" s="12"/>
      <c r="E25" s="12"/>
      <c r="F25" s="12"/>
      <c r="G25" s="12"/>
      <c r="H25" s="12"/>
      <c r="I25" s="12"/>
      <c r="J25" s="35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spans="1:25" ht="14.25" x14ac:dyDescent="0.2">
      <c r="A26" s="12"/>
      <c r="B26" s="35"/>
      <c r="C26" s="12"/>
      <c r="D26" s="12"/>
      <c r="E26" s="35"/>
      <c r="F26" s="35"/>
      <c r="G26" s="35"/>
      <c r="H26" s="35"/>
      <c r="I26" s="35"/>
      <c r="J26" s="35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spans="1:25" ht="14.25" x14ac:dyDescent="0.2">
      <c r="A27" s="12"/>
      <c r="B27" s="12"/>
      <c r="C27" s="12"/>
      <c r="D27" s="12"/>
      <c r="E27" s="35"/>
      <c r="F27" s="35"/>
      <c r="G27" s="35"/>
      <c r="H27" s="35"/>
      <c r="I27" s="35"/>
      <c r="J27" s="35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 ht="14.25" x14ac:dyDescent="0.2">
      <c r="A28" s="12"/>
      <c r="B28" s="12"/>
      <c r="C28" s="12"/>
      <c r="D28" s="12"/>
      <c r="E28" s="35"/>
      <c r="F28" s="35"/>
      <c r="G28" s="35"/>
      <c r="H28" s="35"/>
      <c r="I28" s="35"/>
      <c r="J28" s="35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ht="14.25" x14ac:dyDescent="0.2">
      <c r="A29" s="12"/>
      <c r="B29" s="12"/>
      <c r="C29" s="12"/>
      <c r="D29" s="12"/>
      <c r="E29" s="35"/>
      <c r="F29" s="35"/>
      <c r="G29" s="35"/>
      <c r="H29" s="35"/>
      <c r="I29" s="35"/>
      <c r="J29" s="35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ht="14.25" x14ac:dyDescent="0.2">
      <c r="A30" s="12"/>
      <c r="B30" s="12"/>
      <c r="C30" s="12"/>
      <c r="D30" s="12"/>
      <c r="E30" s="35"/>
      <c r="F30" s="35"/>
      <c r="G30" s="35"/>
      <c r="H30" s="35"/>
      <c r="I30" s="35"/>
      <c r="J30" s="35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ht="14.25" x14ac:dyDescent="0.2">
      <c r="A31" s="12"/>
      <c r="B31" s="12"/>
      <c r="C31" s="12"/>
      <c r="D31" s="12"/>
      <c r="E31" s="35"/>
      <c r="F31" s="35"/>
      <c r="G31" s="35"/>
      <c r="H31" s="35"/>
      <c r="I31" s="35"/>
      <c r="J31" s="35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ht="14.25" x14ac:dyDescent="0.2">
      <c r="A32" s="12"/>
      <c r="B32" s="12"/>
      <c r="C32" s="12"/>
      <c r="D32" s="12"/>
      <c r="E32" s="35"/>
      <c r="F32" s="35"/>
      <c r="G32" s="35"/>
      <c r="H32" s="35"/>
      <c r="I32" s="35"/>
      <c r="J32" s="35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spans="1:25" ht="14.25" x14ac:dyDescent="0.2">
      <c r="A33" s="12"/>
      <c r="B33" s="12"/>
      <c r="C33" s="12"/>
      <c r="D33" s="12"/>
      <c r="E33" s="35"/>
      <c r="F33" s="35"/>
      <c r="G33" s="35"/>
      <c r="H33" s="35"/>
      <c r="I33" s="35"/>
      <c r="J33" s="35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spans="1:25" ht="14.25" x14ac:dyDescent="0.2">
      <c r="A34" s="12"/>
      <c r="B34" s="12"/>
      <c r="C34" s="12"/>
      <c r="D34" s="12"/>
      <c r="E34" s="35"/>
      <c r="F34" s="35"/>
      <c r="G34" s="35"/>
      <c r="H34" s="35"/>
      <c r="I34" s="35"/>
      <c r="J34" s="35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1:25" ht="14.25" x14ac:dyDescent="0.2">
      <c r="A35" s="12"/>
      <c r="B35" s="12"/>
      <c r="C35" s="12"/>
      <c r="D35" s="12"/>
      <c r="E35" s="35"/>
      <c r="F35" s="35"/>
      <c r="G35" s="35"/>
      <c r="H35" s="35"/>
      <c r="I35" s="35"/>
      <c r="J35" s="35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spans="1:25" ht="14.25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ht="14.25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 ht="14.25" x14ac:dyDescent="0.2">
      <c r="A38" s="12"/>
      <c r="B38" s="35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 ht="14.25" x14ac:dyDescent="0.2">
      <c r="A39" s="12"/>
      <c r="B39" s="35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spans="1:25" ht="14.25" x14ac:dyDescent="0.2">
      <c r="A40" s="12"/>
      <c r="B40" s="35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spans="1:25" ht="14.25" x14ac:dyDescent="0.2">
      <c r="A41" s="12"/>
      <c r="B41" s="35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spans="1:25" ht="14.25" x14ac:dyDescent="0.2">
      <c r="A42" s="12"/>
      <c r="B42" s="35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1:25" ht="14.25" x14ac:dyDescent="0.2">
      <c r="A43" s="12"/>
      <c r="B43" s="35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spans="1:25" ht="14.25" x14ac:dyDescent="0.2">
      <c r="A44" s="12"/>
      <c r="B44" s="35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spans="1:25" ht="14.25" x14ac:dyDescent="0.2">
      <c r="A45" s="12"/>
      <c r="B45" s="35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spans="1:25" ht="14.25" x14ac:dyDescent="0.2">
      <c r="A46" s="12"/>
      <c r="B46" s="35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ht="14.25" x14ac:dyDescent="0.2">
      <c r="A47" s="12"/>
      <c r="B47" s="35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spans="1:25" ht="14.25" x14ac:dyDescent="0.2">
      <c r="A48" s="12"/>
      <c r="B48" s="35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spans="1:25" ht="14.25" x14ac:dyDescent="0.2">
      <c r="A49" s="12"/>
      <c r="B49" s="35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spans="1:25" ht="14.25" x14ac:dyDescent="0.2">
      <c r="A50" s="12"/>
      <c r="B50" s="35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spans="1:25" ht="14.25" x14ac:dyDescent="0.2">
      <c r="A51" s="12"/>
      <c r="B51" s="35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1:25" ht="14.25" x14ac:dyDescent="0.2">
      <c r="A52" s="12"/>
      <c r="B52" s="35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spans="1:25" ht="14.25" x14ac:dyDescent="0.2">
      <c r="A53" s="12"/>
      <c r="B53" s="35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spans="1:25" ht="14.25" x14ac:dyDescent="0.2">
      <c r="A54" s="12"/>
      <c r="B54" s="35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spans="1:25" ht="14.25" x14ac:dyDescent="0.2">
      <c r="A55" s="12"/>
      <c r="B55" s="35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spans="1:25" ht="14.25" x14ac:dyDescent="0.2">
      <c r="A56" s="12"/>
      <c r="B56" s="35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spans="1:25" ht="14.25" x14ac:dyDescent="0.2">
      <c r="A57" s="12"/>
      <c r="B57" s="35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spans="1:25" ht="14.25" x14ac:dyDescent="0.2">
      <c r="A58" s="12"/>
      <c r="B58" s="35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spans="1:25" ht="14.25" x14ac:dyDescent="0.2">
      <c r="A59" s="12"/>
      <c r="B59" s="35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spans="1:25" ht="14.25" x14ac:dyDescent="0.2">
      <c r="A60" s="12"/>
      <c r="B60" s="35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1:25" ht="14.25" x14ac:dyDescent="0.2">
      <c r="A61" s="12"/>
      <c r="B61" s="35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spans="1:25" ht="14.25" x14ac:dyDescent="0.2">
      <c r="A62" s="12"/>
      <c r="B62" s="35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spans="1:25" ht="14.25" x14ac:dyDescent="0.2">
      <c r="A63" s="12"/>
      <c r="B63" s="35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spans="1:25" ht="14.25" x14ac:dyDescent="0.2">
      <c r="A64" s="12"/>
      <c r="B64" s="35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spans="1:25" ht="14.25" x14ac:dyDescent="0.2">
      <c r="A65" s="12"/>
      <c r="B65" s="35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spans="1:25" ht="14.25" x14ac:dyDescent="0.2">
      <c r="A66" s="12"/>
      <c r="B66" s="35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spans="1:25" ht="14.25" x14ac:dyDescent="0.2">
      <c r="A67" s="12"/>
      <c r="B67" s="35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spans="1:25" ht="14.25" x14ac:dyDescent="0.2">
      <c r="A68" s="12"/>
      <c r="B68" s="35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spans="1:25" ht="14.25" x14ac:dyDescent="0.2">
      <c r="A69" s="12"/>
      <c r="B69" s="35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spans="1:25" ht="14.25" x14ac:dyDescent="0.2">
      <c r="A70" s="12"/>
      <c r="B70" s="35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spans="1:25" ht="14.25" x14ac:dyDescent="0.2">
      <c r="A71" s="12"/>
      <c r="B71" s="35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spans="1:25" ht="14.25" x14ac:dyDescent="0.2">
      <c r="A72" s="12"/>
      <c r="B72" s="35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spans="1:25" ht="14.25" x14ac:dyDescent="0.2">
      <c r="A73" s="12"/>
      <c r="B73" s="35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spans="1:25" ht="14.25" x14ac:dyDescent="0.2">
      <c r="A74" s="12"/>
      <c r="B74" s="35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 spans="1:25" ht="14.25" x14ac:dyDescent="0.2">
      <c r="A75" s="12"/>
      <c r="B75" s="35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 spans="1:25" ht="14.25" x14ac:dyDescent="0.2">
      <c r="A76" s="12"/>
      <c r="B76" s="35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spans="1:25" ht="14.25" x14ac:dyDescent="0.2">
      <c r="A77" s="12"/>
      <c r="B77" s="35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 spans="1:25" ht="14.25" x14ac:dyDescent="0.2">
      <c r="A78" s="12"/>
      <c r="B78" s="35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 spans="1:25" ht="14.25" x14ac:dyDescent="0.2">
      <c r="A79" s="12"/>
      <c r="B79" s="35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 spans="1:25" ht="14.25" x14ac:dyDescent="0.2">
      <c r="A80" s="12"/>
      <c r="B80" s="35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 spans="1:25" ht="14.25" x14ac:dyDescent="0.2">
      <c r="A81" s="12"/>
      <c r="B81" s="35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 spans="1:25" ht="14.25" x14ac:dyDescent="0.2">
      <c r="A82" s="12"/>
      <c r="B82" s="35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 spans="1:25" ht="14.25" x14ac:dyDescent="0.2">
      <c r="A83" s="12"/>
      <c r="B83" s="35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 spans="1:25" ht="14.25" x14ac:dyDescent="0.2">
      <c r="A84" s="12"/>
      <c r="B84" s="35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 spans="1:25" ht="14.25" x14ac:dyDescent="0.2">
      <c r="A85" s="12"/>
      <c r="B85" s="35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spans="1:25" ht="14.25" x14ac:dyDescent="0.2">
      <c r="A86" s="12"/>
      <c r="B86" s="35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spans="1:25" ht="14.25" x14ac:dyDescent="0.2">
      <c r="A87" s="12"/>
      <c r="B87" s="35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 spans="1:25" ht="14.25" x14ac:dyDescent="0.2">
      <c r="A88" s="12"/>
      <c r="B88" s="35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 spans="1:25" ht="14.25" x14ac:dyDescent="0.2">
      <c r="A89" s="12"/>
      <c r="B89" s="35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spans="1:25" ht="14.25" x14ac:dyDescent="0.2">
      <c r="A90" s="12"/>
      <c r="B90" s="35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spans="1:25" ht="14.25" x14ac:dyDescent="0.2">
      <c r="A91" s="12"/>
      <c r="B91" s="35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spans="1:25" ht="14.25" x14ac:dyDescent="0.2">
      <c r="A92" s="12"/>
      <c r="B92" s="35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spans="1:25" ht="14.25" x14ac:dyDescent="0.2">
      <c r="A93" s="12"/>
      <c r="B93" s="35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 spans="1:25" ht="14.25" x14ac:dyDescent="0.2">
      <c r="A94" s="12"/>
      <c r="B94" s="35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spans="1:25" ht="14.25" x14ac:dyDescent="0.2">
      <c r="A95" s="12"/>
      <c r="B95" s="35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 spans="1:25" ht="14.25" x14ac:dyDescent="0.2">
      <c r="A96" s="12"/>
      <c r="B96" s="35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 spans="1:25" ht="14.25" x14ac:dyDescent="0.2">
      <c r="A97" s="12"/>
      <c r="B97" s="35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 spans="1:25" ht="14.25" x14ac:dyDescent="0.2">
      <c r="A98" s="12"/>
      <c r="B98" s="35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 spans="1:25" ht="14.25" x14ac:dyDescent="0.2">
      <c r="A99" s="12"/>
      <c r="B99" s="35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 spans="1:25" ht="14.25" x14ac:dyDescent="0.2">
      <c r="A100" s="12"/>
      <c r="B100" s="35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 spans="1:25" ht="14.25" x14ac:dyDescent="0.2">
      <c r="A101" s="12"/>
      <c r="B101" s="35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 spans="1:25" ht="14.25" x14ac:dyDescent="0.2">
      <c r="A102" s="12"/>
      <c r="B102" s="35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 spans="1:25" ht="14.25" x14ac:dyDescent="0.2">
      <c r="A103" s="12"/>
      <c r="B103" s="35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 spans="1:25" ht="14.25" x14ac:dyDescent="0.2">
      <c r="A104" s="12"/>
      <c r="B104" s="35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 spans="1:25" ht="14.25" x14ac:dyDescent="0.2">
      <c r="A105" s="12"/>
      <c r="B105" s="35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 spans="1:25" ht="14.25" x14ac:dyDescent="0.2">
      <c r="A106" s="12"/>
      <c r="B106" s="35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 spans="1:25" ht="14.25" x14ac:dyDescent="0.2">
      <c r="A107" s="12"/>
      <c r="B107" s="35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 spans="1:25" ht="14.25" x14ac:dyDescent="0.2">
      <c r="A108" s="12"/>
      <c r="B108" s="35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 spans="1:25" ht="14.25" x14ac:dyDescent="0.2">
      <c r="A109" s="12"/>
      <c r="B109" s="35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 spans="1:25" ht="14.25" x14ac:dyDescent="0.2">
      <c r="A110" s="12"/>
      <c r="B110" s="35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 spans="1:25" ht="14.25" x14ac:dyDescent="0.2">
      <c r="A111" s="12"/>
      <c r="B111" s="35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 spans="1:25" ht="14.25" x14ac:dyDescent="0.2">
      <c r="A112" s="12"/>
      <c r="B112" s="35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 spans="1:25" ht="14.25" x14ac:dyDescent="0.2">
      <c r="A113" s="12"/>
      <c r="B113" s="35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 spans="1:25" ht="14.25" x14ac:dyDescent="0.2">
      <c r="A114" s="12"/>
      <c r="B114" s="35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 spans="1:25" ht="14.25" x14ac:dyDescent="0.2">
      <c r="A115" s="12"/>
      <c r="B115" s="35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 spans="1:25" ht="14.25" x14ac:dyDescent="0.2">
      <c r="A116" s="12"/>
      <c r="B116" s="35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 spans="1:25" ht="14.25" x14ac:dyDescent="0.2">
      <c r="A117" s="12"/>
      <c r="B117" s="35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 spans="1:25" ht="14.25" x14ac:dyDescent="0.2">
      <c r="A118" s="12"/>
      <c r="B118" s="35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 spans="1:25" ht="14.25" x14ac:dyDescent="0.2">
      <c r="A119" s="12"/>
      <c r="B119" s="35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 spans="1:25" ht="14.25" x14ac:dyDescent="0.2">
      <c r="A120" s="12"/>
      <c r="B120" s="35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 spans="1:25" ht="14.25" x14ac:dyDescent="0.2">
      <c r="A121" s="12"/>
      <c r="B121" s="35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 spans="1:25" ht="14.25" x14ac:dyDescent="0.2">
      <c r="A122" s="12"/>
      <c r="B122" s="35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 spans="1:25" ht="14.25" x14ac:dyDescent="0.2">
      <c r="A123" s="12"/>
      <c r="B123" s="35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 spans="1:25" ht="14.25" x14ac:dyDescent="0.2">
      <c r="A124" s="12"/>
      <c r="B124" s="35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 spans="1:25" ht="14.25" x14ac:dyDescent="0.2">
      <c r="A125" s="12"/>
      <c r="B125" s="35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 spans="1:25" ht="14.25" x14ac:dyDescent="0.2">
      <c r="A126" s="12"/>
      <c r="B126" s="35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 spans="1:25" ht="14.25" x14ac:dyDescent="0.2">
      <c r="A127" s="12"/>
      <c r="B127" s="35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spans="1:25" ht="14.25" x14ac:dyDescent="0.2">
      <c r="A128" s="12"/>
      <c r="B128" s="35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 spans="1:25" ht="14.25" x14ac:dyDescent="0.2">
      <c r="A129" s="12"/>
      <c r="B129" s="35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spans="1:25" ht="14.25" x14ac:dyDescent="0.2">
      <c r="A130" s="12"/>
      <c r="B130" s="35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spans="1:25" ht="14.25" x14ac:dyDescent="0.2">
      <c r="A131" s="12"/>
      <c r="B131" s="35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 spans="1:25" ht="14.25" x14ac:dyDescent="0.2">
      <c r="A132" s="12"/>
      <c r="B132" s="35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spans="1:25" ht="14.25" x14ac:dyDescent="0.2">
      <c r="A133" s="12"/>
      <c r="B133" s="35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spans="1:25" ht="14.25" x14ac:dyDescent="0.2">
      <c r="A134" s="12"/>
      <c r="B134" s="35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spans="1:25" ht="14.25" x14ac:dyDescent="0.2">
      <c r="A135" s="12"/>
      <c r="B135" s="35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spans="1:25" ht="14.25" x14ac:dyDescent="0.2">
      <c r="A136" s="12"/>
      <c r="B136" s="35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spans="1:25" ht="14.25" x14ac:dyDescent="0.2">
      <c r="A137" s="12"/>
      <c r="B137" s="35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spans="1:25" ht="14.25" x14ac:dyDescent="0.2">
      <c r="A138" s="12"/>
      <c r="B138" s="35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spans="1:25" ht="14.25" x14ac:dyDescent="0.2">
      <c r="A139" s="12"/>
      <c r="B139" s="35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spans="1:25" ht="14.25" x14ac:dyDescent="0.2">
      <c r="A140" s="12"/>
      <c r="B140" s="35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spans="1:25" ht="14.25" x14ac:dyDescent="0.2">
      <c r="A141" s="12"/>
      <c r="B141" s="35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spans="1:25" ht="14.25" x14ac:dyDescent="0.2">
      <c r="A142" s="12"/>
      <c r="B142" s="35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spans="1:25" ht="14.25" x14ac:dyDescent="0.2">
      <c r="A143" s="12"/>
      <c r="B143" s="35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spans="1:25" ht="14.25" x14ac:dyDescent="0.2">
      <c r="A144" s="12"/>
      <c r="B144" s="35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spans="1:25" ht="14.25" x14ac:dyDescent="0.2">
      <c r="A145" s="12"/>
      <c r="B145" s="35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spans="1:25" ht="14.25" x14ac:dyDescent="0.2">
      <c r="A146" s="12"/>
      <c r="B146" s="35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spans="1:25" ht="14.25" x14ac:dyDescent="0.2">
      <c r="A147" s="12"/>
      <c r="B147" s="35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spans="1:25" ht="14.25" x14ac:dyDescent="0.2">
      <c r="A148" s="12"/>
      <c r="B148" s="35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spans="1:25" ht="14.25" x14ac:dyDescent="0.2">
      <c r="A149" s="12"/>
      <c r="B149" s="35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spans="1:25" ht="14.25" x14ac:dyDescent="0.2">
      <c r="A150" s="12"/>
      <c r="B150" s="35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spans="1:25" ht="14.25" x14ac:dyDescent="0.2">
      <c r="A151" s="12"/>
      <c r="B151" s="35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spans="1:25" ht="14.25" x14ac:dyDescent="0.2">
      <c r="A152" s="12"/>
      <c r="B152" s="35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spans="1:25" ht="14.25" x14ac:dyDescent="0.2">
      <c r="A153" s="12"/>
      <c r="B153" s="35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spans="1:25" ht="14.25" x14ac:dyDescent="0.2">
      <c r="A154" s="12"/>
      <c r="B154" s="35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spans="1:25" ht="14.25" x14ac:dyDescent="0.2">
      <c r="A155" s="12"/>
      <c r="B155" s="35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spans="1:25" ht="14.25" x14ac:dyDescent="0.2">
      <c r="A156" s="12"/>
      <c r="B156" s="35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spans="1:25" ht="14.25" x14ac:dyDescent="0.2">
      <c r="A157" s="12"/>
      <c r="B157" s="35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spans="1:25" ht="14.25" x14ac:dyDescent="0.2">
      <c r="A158" s="12"/>
      <c r="B158" s="35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spans="1:25" ht="14.25" x14ac:dyDescent="0.2">
      <c r="A159" s="12"/>
      <c r="B159" s="35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spans="1:25" ht="14.25" x14ac:dyDescent="0.2">
      <c r="A160" s="12"/>
      <c r="B160" s="35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spans="1:25" ht="14.25" x14ac:dyDescent="0.2">
      <c r="A161" s="12"/>
      <c r="B161" s="35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spans="1:25" ht="14.25" x14ac:dyDescent="0.2">
      <c r="A162" s="12"/>
      <c r="B162" s="35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spans="1:25" ht="14.25" x14ac:dyDescent="0.2">
      <c r="A163" s="12"/>
      <c r="B163" s="35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spans="1:25" ht="14.25" x14ac:dyDescent="0.2">
      <c r="A164" s="12"/>
      <c r="B164" s="35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spans="1:25" ht="14.25" x14ac:dyDescent="0.2">
      <c r="A165" s="12"/>
      <c r="B165" s="35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spans="1:25" ht="14.25" x14ac:dyDescent="0.2">
      <c r="A166" s="12"/>
      <c r="B166" s="35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spans="1:25" ht="14.25" x14ac:dyDescent="0.2">
      <c r="A167" s="12"/>
      <c r="B167" s="35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spans="1:25" ht="14.25" x14ac:dyDescent="0.2">
      <c r="A168" s="12"/>
      <c r="B168" s="35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spans="1:25" ht="14.25" x14ac:dyDescent="0.2">
      <c r="A169" s="12"/>
      <c r="B169" s="35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spans="1:25" ht="14.25" x14ac:dyDescent="0.2">
      <c r="A170" s="12"/>
      <c r="B170" s="35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spans="1:25" ht="14.25" x14ac:dyDescent="0.2">
      <c r="A171" s="12"/>
      <c r="B171" s="35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spans="1:25" ht="14.25" x14ac:dyDescent="0.2">
      <c r="A172" s="12"/>
      <c r="B172" s="35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spans="1:25" ht="14.25" x14ac:dyDescent="0.2">
      <c r="A173" s="12"/>
      <c r="B173" s="35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spans="1:25" ht="14.25" x14ac:dyDescent="0.2">
      <c r="A174" s="12"/>
      <c r="B174" s="35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spans="1:25" ht="14.25" x14ac:dyDescent="0.2">
      <c r="A175" s="12"/>
      <c r="B175" s="35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spans="1:25" ht="14.25" x14ac:dyDescent="0.2">
      <c r="A176" s="12"/>
      <c r="B176" s="35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spans="1:25" ht="14.25" x14ac:dyDescent="0.2">
      <c r="A177" s="12"/>
      <c r="B177" s="35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spans="1:25" ht="14.25" x14ac:dyDescent="0.2">
      <c r="A178" s="12"/>
      <c r="B178" s="35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spans="1:25" ht="14.25" x14ac:dyDescent="0.2">
      <c r="A179" s="12"/>
      <c r="B179" s="35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spans="1:25" ht="14.25" x14ac:dyDescent="0.2">
      <c r="A180" s="12"/>
      <c r="B180" s="35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spans="1:25" ht="14.25" x14ac:dyDescent="0.2">
      <c r="A181" s="12"/>
      <c r="B181" s="35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spans="1:25" ht="14.25" x14ac:dyDescent="0.2">
      <c r="A182" s="12"/>
      <c r="B182" s="35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spans="1:25" ht="14.25" x14ac:dyDescent="0.2">
      <c r="A183" s="12"/>
      <c r="B183" s="35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spans="1:25" ht="14.25" x14ac:dyDescent="0.2">
      <c r="A184" s="12"/>
      <c r="B184" s="35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spans="1:25" ht="14.25" x14ac:dyDescent="0.2">
      <c r="A185" s="12"/>
      <c r="B185" s="35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spans="1:25" ht="14.25" x14ac:dyDescent="0.2">
      <c r="A186" s="12"/>
      <c r="B186" s="35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spans="1:25" ht="14.25" x14ac:dyDescent="0.2">
      <c r="A187" s="12"/>
      <c r="B187" s="35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spans="1:25" ht="14.25" x14ac:dyDescent="0.2">
      <c r="A188" s="12"/>
      <c r="B188" s="35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spans="1:25" ht="14.25" x14ac:dyDescent="0.2">
      <c r="A189" s="12"/>
      <c r="B189" s="35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spans="1:25" ht="14.25" x14ac:dyDescent="0.2">
      <c r="A190" s="12"/>
      <c r="B190" s="35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spans="1:25" ht="14.25" x14ac:dyDescent="0.2">
      <c r="A191" s="12"/>
      <c r="B191" s="35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spans="1:25" ht="14.25" x14ac:dyDescent="0.2">
      <c r="A192" s="12"/>
      <c r="B192" s="35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spans="1:25" ht="14.25" x14ac:dyDescent="0.2">
      <c r="A193" s="12"/>
      <c r="B193" s="35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spans="1:25" ht="14.25" x14ac:dyDescent="0.2">
      <c r="A194" s="12"/>
      <c r="B194" s="35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spans="1:25" ht="14.25" x14ac:dyDescent="0.2">
      <c r="A195" s="12"/>
      <c r="B195" s="35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spans="1:25" ht="14.25" x14ac:dyDescent="0.2">
      <c r="A196" s="12"/>
      <c r="B196" s="35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spans="1:25" ht="14.25" x14ac:dyDescent="0.2">
      <c r="A197" s="12"/>
      <c r="B197" s="35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spans="1:25" ht="14.25" x14ac:dyDescent="0.2">
      <c r="A198" s="12"/>
      <c r="B198" s="35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spans="1:25" ht="14.25" x14ac:dyDescent="0.2">
      <c r="A199" s="12"/>
      <c r="B199" s="35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spans="1:25" ht="14.25" x14ac:dyDescent="0.2">
      <c r="A200" s="12"/>
      <c r="B200" s="35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spans="1:25" ht="14.25" x14ac:dyDescent="0.2">
      <c r="A201" s="12"/>
      <c r="B201" s="35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spans="1:25" ht="14.25" x14ac:dyDescent="0.2">
      <c r="A202" s="12"/>
      <c r="B202" s="35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spans="1:25" ht="14.25" x14ac:dyDescent="0.2">
      <c r="A203" s="12"/>
      <c r="B203" s="35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spans="1:25" ht="14.25" x14ac:dyDescent="0.2">
      <c r="A204" s="12"/>
      <c r="B204" s="35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spans="1:25" ht="14.25" x14ac:dyDescent="0.2">
      <c r="A205" s="12"/>
      <c r="B205" s="35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spans="1:25" ht="14.25" x14ac:dyDescent="0.2">
      <c r="A206" s="12"/>
      <c r="B206" s="35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spans="1:25" ht="14.25" x14ac:dyDescent="0.2">
      <c r="A207" s="12"/>
      <c r="B207" s="35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spans="1:25" ht="14.25" x14ac:dyDescent="0.2">
      <c r="A208" s="12"/>
      <c r="B208" s="35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spans="1:25" ht="14.25" x14ac:dyDescent="0.2">
      <c r="A209" s="12"/>
      <c r="B209" s="35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spans="1:25" ht="14.25" x14ac:dyDescent="0.2">
      <c r="A210" s="12"/>
      <c r="B210" s="35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spans="1:25" ht="14.25" x14ac:dyDescent="0.2">
      <c r="A211" s="12"/>
      <c r="B211" s="35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spans="1:25" ht="14.25" x14ac:dyDescent="0.2">
      <c r="A212" s="12"/>
      <c r="B212" s="35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spans="1:25" ht="14.25" x14ac:dyDescent="0.2">
      <c r="A213" s="12"/>
      <c r="B213" s="35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spans="1:25" ht="14.25" x14ac:dyDescent="0.2">
      <c r="A214" s="12"/>
      <c r="B214" s="35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spans="1:25" ht="14.25" x14ac:dyDescent="0.2">
      <c r="A215" s="12"/>
      <c r="B215" s="35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spans="1:25" ht="14.25" x14ac:dyDescent="0.2">
      <c r="A216" s="12"/>
      <c r="B216" s="35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spans="1:25" ht="14.25" x14ac:dyDescent="0.2">
      <c r="A217" s="12"/>
      <c r="B217" s="35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spans="1:25" ht="14.25" x14ac:dyDescent="0.2">
      <c r="A218" s="12"/>
      <c r="B218" s="35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spans="1:25" ht="14.25" x14ac:dyDescent="0.2">
      <c r="A219" s="12"/>
      <c r="B219" s="35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spans="1:25" ht="14.25" x14ac:dyDescent="0.2">
      <c r="A220" s="12"/>
      <c r="B220" s="35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spans="1:25" ht="14.25" x14ac:dyDescent="0.2">
      <c r="A221" s="12"/>
      <c r="B221" s="35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spans="1:25" ht="14.25" x14ac:dyDescent="0.2">
      <c r="A222" s="12"/>
      <c r="B222" s="35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spans="1:25" ht="14.25" x14ac:dyDescent="0.2">
      <c r="A223" s="12"/>
      <c r="B223" s="35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spans="1:25" ht="14.25" x14ac:dyDescent="0.2">
      <c r="A224" s="12"/>
      <c r="B224" s="35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spans="1:25" ht="14.25" x14ac:dyDescent="0.2">
      <c r="A225" s="12"/>
      <c r="B225" s="35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spans="1:25" ht="14.25" x14ac:dyDescent="0.2">
      <c r="A226" s="12"/>
      <c r="B226" s="35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spans="1:25" ht="14.25" x14ac:dyDescent="0.2">
      <c r="A227" s="12"/>
      <c r="B227" s="35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spans="1:25" ht="14.25" x14ac:dyDescent="0.2">
      <c r="A228" s="12"/>
      <c r="B228" s="35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spans="1:25" ht="14.25" x14ac:dyDescent="0.2">
      <c r="A229" s="12"/>
      <c r="B229" s="35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spans="1:25" ht="14.25" x14ac:dyDescent="0.2">
      <c r="A230" s="12"/>
      <c r="B230" s="35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spans="1:25" ht="14.25" x14ac:dyDescent="0.2">
      <c r="A231" s="12"/>
      <c r="B231" s="35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spans="1:25" ht="14.25" x14ac:dyDescent="0.2">
      <c r="A232" s="12"/>
      <c r="B232" s="35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spans="1:25" ht="14.25" x14ac:dyDescent="0.2">
      <c r="A233" s="12"/>
      <c r="B233" s="35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spans="1:25" ht="14.25" x14ac:dyDescent="0.2">
      <c r="A234" s="12"/>
      <c r="B234" s="35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spans="1:25" ht="14.25" x14ac:dyDescent="0.2">
      <c r="A235" s="12"/>
      <c r="B235" s="35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spans="1:25" ht="14.25" x14ac:dyDescent="0.2">
      <c r="A236" s="12"/>
      <c r="B236" s="35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spans="1:25" ht="14.25" x14ac:dyDescent="0.2">
      <c r="A237" s="12"/>
      <c r="B237" s="35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spans="1:25" ht="14.25" x14ac:dyDescent="0.2">
      <c r="A238" s="12"/>
      <c r="B238" s="35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spans="1:25" ht="14.25" x14ac:dyDescent="0.2">
      <c r="A239" s="12"/>
      <c r="B239" s="35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spans="1:25" ht="14.25" x14ac:dyDescent="0.2">
      <c r="A240" s="12"/>
      <c r="B240" s="35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spans="1:25" ht="14.25" x14ac:dyDescent="0.2">
      <c r="A241" s="12"/>
      <c r="B241" s="35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spans="1:25" ht="14.25" x14ac:dyDescent="0.2">
      <c r="A242" s="12"/>
      <c r="B242" s="35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spans="1:25" ht="14.25" x14ac:dyDescent="0.2">
      <c r="A243" s="12"/>
      <c r="B243" s="35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spans="1:25" ht="14.25" x14ac:dyDescent="0.2">
      <c r="A244" s="12"/>
      <c r="B244" s="35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spans="1:25" ht="14.25" x14ac:dyDescent="0.2">
      <c r="A245" s="12"/>
      <c r="B245" s="35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 spans="1:25" ht="14.25" x14ac:dyDescent="0.2">
      <c r="A246" s="12"/>
      <c r="B246" s="35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 spans="1:25" ht="14.25" x14ac:dyDescent="0.2">
      <c r="A247" s="12"/>
      <c r="B247" s="35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 spans="1:25" ht="14.25" x14ac:dyDescent="0.2">
      <c r="A248" s="12"/>
      <c r="B248" s="35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 spans="1:25" ht="14.25" x14ac:dyDescent="0.2">
      <c r="A249" s="12"/>
      <c r="B249" s="35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 spans="1:25" ht="14.25" x14ac:dyDescent="0.2">
      <c r="A250" s="12"/>
      <c r="B250" s="35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 spans="1:25" ht="14.25" x14ac:dyDescent="0.2">
      <c r="A251" s="12"/>
      <c r="B251" s="35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 spans="1:25" ht="14.25" x14ac:dyDescent="0.2">
      <c r="A252" s="12"/>
      <c r="B252" s="35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 spans="1:25" ht="14.25" x14ac:dyDescent="0.2">
      <c r="A253" s="12"/>
      <c r="B253" s="35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 spans="1:25" ht="14.25" x14ac:dyDescent="0.2">
      <c r="A254" s="12"/>
      <c r="B254" s="35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 spans="1:25" ht="14.25" x14ac:dyDescent="0.2">
      <c r="A255" s="12"/>
      <c r="B255" s="35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 spans="1:25" ht="14.25" x14ac:dyDescent="0.2">
      <c r="A256" s="12"/>
      <c r="B256" s="35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spans="1:25" ht="14.25" x14ac:dyDescent="0.2">
      <c r="A257" s="12"/>
      <c r="B257" s="35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 spans="1:25" ht="14.25" x14ac:dyDescent="0.2">
      <c r="A258" s="12"/>
      <c r="B258" s="35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 spans="1:25" ht="14.25" x14ac:dyDescent="0.2">
      <c r="A259" s="12"/>
      <c r="B259" s="35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 spans="1:25" ht="14.25" x14ac:dyDescent="0.2">
      <c r="A260" s="12"/>
      <c r="B260" s="35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 spans="1:25" ht="14.25" x14ac:dyDescent="0.2">
      <c r="A261" s="12"/>
      <c r="B261" s="35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spans="1:25" ht="14.25" x14ac:dyDescent="0.2">
      <c r="A262" s="12"/>
      <c r="B262" s="35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 spans="1:25" ht="14.25" x14ac:dyDescent="0.2">
      <c r="A263" s="12"/>
      <c r="B263" s="35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spans="1:25" ht="14.25" x14ac:dyDescent="0.2">
      <c r="A264" s="12"/>
      <c r="B264" s="35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 spans="1:25" ht="14.25" x14ac:dyDescent="0.2">
      <c r="A265" s="12"/>
      <c r="B265" s="35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 spans="1:25" ht="14.25" x14ac:dyDescent="0.2">
      <c r="A266" s="12"/>
      <c r="B266" s="35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 spans="1:25" ht="14.25" x14ac:dyDescent="0.2">
      <c r="A267" s="12"/>
      <c r="B267" s="35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 spans="1:25" ht="14.25" x14ac:dyDescent="0.2">
      <c r="A268" s="12"/>
      <c r="B268" s="35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 spans="1:25" ht="14.25" x14ac:dyDescent="0.2">
      <c r="A269" s="12"/>
      <c r="B269" s="35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 spans="1:25" ht="14.25" x14ac:dyDescent="0.2">
      <c r="A270" s="12"/>
      <c r="B270" s="35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 spans="1:25" ht="14.25" x14ac:dyDescent="0.2">
      <c r="A271" s="12"/>
      <c r="B271" s="35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 spans="1:25" ht="14.25" x14ac:dyDescent="0.2">
      <c r="A272" s="12"/>
      <c r="B272" s="35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 spans="1:25" ht="14.25" x14ac:dyDescent="0.2">
      <c r="A273" s="12"/>
      <c r="B273" s="35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 spans="1:25" ht="14.25" x14ac:dyDescent="0.2">
      <c r="A274" s="12"/>
      <c r="B274" s="35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 spans="1:25" ht="14.25" x14ac:dyDescent="0.2">
      <c r="A275" s="12"/>
      <c r="B275" s="35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 spans="1:25" ht="14.25" x14ac:dyDescent="0.2">
      <c r="A276" s="12"/>
      <c r="B276" s="35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 spans="1:25" ht="14.25" x14ac:dyDescent="0.2">
      <c r="A277" s="12"/>
      <c r="B277" s="35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 spans="1:25" ht="14.25" x14ac:dyDescent="0.2">
      <c r="A278" s="12"/>
      <c r="B278" s="35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 spans="1:25" ht="14.25" x14ac:dyDescent="0.2">
      <c r="A279" s="12"/>
      <c r="B279" s="35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 spans="1:25" ht="14.25" x14ac:dyDescent="0.2">
      <c r="A280" s="12"/>
      <c r="B280" s="35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 spans="1:25" ht="14.25" x14ac:dyDescent="0.2">
      <c r="A281" s="12"/>
      <c r="B281" s="35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 spans="1:25" ht="14.25" x14ac:dyDescent="0.2">
      <c r="A282" s="12"/>
      <c r="B282" s="35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 spans="1:25" ht="14.25" x14ac:dyDescent="0.2">
      <c r="A283" s="12"/>
      <c r="B283" s="35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 spans="1:25" ht="14.25" x14ac:dyDescent="0.2">
      <c r="A284" s="12"/>
      <c r="B284" s="35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 spans="1:25" ht="14.25" x14ac:dyDescent="0.2">
      <c r="A285" s="12"/>
      <c r="B285" s="35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 spans="1:25" ht="14.25" x14ac:dyDescent="0.2">
      <c r="A286" s="12"/>
      <c r="B286" s="35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 spans="1:25" ht="14.25" x14ac:dyDescent="0.2">
      <c r="A287" s="12"/>
      <c r="B287" s="35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 spans="1:25" ht="14.25" x14ac:dyDescent="0.2">
      <c r="A288" s="12"/>
      <c r="B288" s="35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 spans="1:25" ht="14.25" x14ac:dyDescent="0.2">
      <c r="A289" s="12"/>
      <c r="B289" s="35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 spans="1:25" ht="14.25" x14ac:dyDescent="0.2">
      <c r="A290" s="12"/>
      <c r="B290" s="35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 spans="1:25" ht="14.25" x14ac:dyDescent="0.2">
      <c r="A291" s="12"/>
      <c r="B291" s="35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 spans="1:25" ht="14.25" x14ac:dyDescent="0.2">
      <c r="A292" s="12"/>
      <c r="B292" s="35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 spans="1:25" ht="14.25" x14ac:dyDescent="0.2">
      <c r="A293" s="12"/>
      <c r="B293" s="35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 spans="1:25" ht="14.25" x14ac:dyDescent="0.2">
      <c r="A294" s="12"/>
      <c r="B294" s="35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 spans="1:25" ht="14.25" x14ac:dyDescent="0.2">
      <c r="A295" s="12"/>
      <c r="B295" s="35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 spans="1:25" ht="14.25" x14ac:dyDescent="0.2">
      <c r="A296" s="12"/>
      <c r="B296" s="35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 spans="1:25" ht="14.25" x14ac:dyDescent="0.2">
      <c r="A297" s="12"/>
      <c r="B297" s="35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 spans="1:25" ht="14.25" x14ac:dyDescent="0.2">
      <c r="A298" s="12"/>
      <c r="B298" s="35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spans="1:25" ht="14.25" x14ac:dyDescent="0.2">
      <c r="A299" s="12"/>
      <c r="B299" s="35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 spans="1:25" ht="14.25" x14ac:dyDescent="0.2">
      <c r="A300" s="12"/>
      <c r="B300" s="35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 spans="1:25" ht="14.25" x14ac:dyDescent="0.2">
      <c r="A301" s="12"/>
      <c r="B301" s="35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 spans="1:25" ht="14.25" x14ac:dyDescent="0.2">
      <c r="A302" s="12"/>
      <c r="B302" s="35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 spans="1:25" ht="14.25" x14ac:dyDescent="0.2">
      <c r="A303" s="12"/>
      <c r="B303" s="35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 spans="1:25" ht="14.25" x14ac:dyDescent="0.2">
      <c r="A304" s="12"/>
      <c r="B304" s="35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 spans="1:25" ht="14.25" x14ac:dyDescent="0.2">
      <c r="A305" s="12"/>
      <c r="B305" s="35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 spans="1:25" ht="14.25" x14ac:dyDescent="0.2">
      <c r="A306" s="12"/>
      <c r="B306" s="35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 spans="1:25" ht="14.25" x14ac:dyDescent="0.2">
      <c r="A307" s="12"/>
      <c r="B307" s="35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 spans="1:25" ht="14.25" x14ac:dyDescent="0.2">
      <c r="A308" s="12"/>
      <c r="B308" s="35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 spans="1:25" ht="14.25" x14ac:dyDescent="0.2">
      <c r="A309" s="12"/>
      <c r="B309" s="35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 spans="1:25" ht="14.25" x14ac:dyDescent="0.2">
      <c r="A310" s="12"/>
      <c r="B310" s="35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 spans="1:25" ht="14.25" x14ac:dyDescent="0.2">
      <c r="A311" s="12"/>
      <c r="B311" s="35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 spans="1:25" ht="14.25" x14ac:dyDescent="0.2">
      <c r="A312" s="12"/>
      <c r="B312" s="35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 spans="1:25" ht="14.25" x14ac:dyDescent="0.2">
      <c r="A313" s="12"/>
      <c r="B313" s="35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spans="1:25" ht="14.25" x14ac:dyDescent="0.2">
      <c r="A314" s="12"/>
      <c r="B314" s="35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 spans="1:25" ht="14.25" x14ac:dyDescent="0.2">
      <c r="A315" s="12"/>
      <c r="B315" s="35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 spans="1:25" ht="14.25" x14ac:dyDescent="0.2">
      <c r="A316" s="12"/>
      <c r="B316" s="35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 spans="1:25" ht="14.25" x14ac:dyDescent="0.2">
      <c r="A317" s="12"/>
      <c r="B317" s="35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 spans="1:25" ht="14.25" x14ac:dyDescent="0.2">
      <c r="A318" s="12"/>
      <c r="B318" s="35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 spans="1:25" ht="14.25" x14ac:dyDescent="0.2">
      <c r="A319" s="12"/>
      <c r="B319" s="35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 spans="1:25" ht="14.25" x14ac:dyDescent="0.2">
      <c r="A320" s="12"/>
      <c r="B320" s="35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 spans="1:25" ht="14.25" x14ac:dyDescent="0.2">
      <c r="A321" s="12"/>
      <c r="B321" s="35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 spans="1:25" ht="14.25" x14ac:dyDescent="0.2">
      <c r="A322" s="12"/>
      <c r="B322" s="35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 spans="1:25" ht="14.25" x14ac:dyDescent="0.2">
      <c r="A323" s="12"/>
      <c r="B323" s="35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 spans="1:25" ht="14.25" x14ac:dyDescent="0.2">
      <c r="A324" s="12"/>
      <c r="B324" s="35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 spans="1:25" ht="14.25" x14ac:dyDescent="0.2">
      <c r="A325" s="12"/>
      <c r="B325" s="35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 spans="1:25" ht="14.25" x14ac:dyDescent="0.2">
      <c r="A326" s="12"/>
      <c r="B326" s="35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 spans="1:25" ht="14.25" x14ac:dyDescent="0.2">
      <c r="A327" s="12"/>
      <c r="B327" s="35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 spans="1:25" ht="14.25" x14ac:dyDescent="0.2">
      <c r="A328" s="12"/>
      <c r="B328" s="35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 spans="1:25" ht="14.25" x14ac:dyDescent="0.2">
      <c r="A329" s="12"/>
      <c r="B329" s="35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 spans="1:25" ht="14.25" x14ac:dyDescent="0.2">
      <c r="A330" s="12"/>
      <c r="B330" s="35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 spans="1:25" ht="14.25" x14ac:dyDescent="0.2">
      <c r="A331" s="12"/>
      <c r="B331" s="35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 spans="1:25" ht="14.25" x14ac:dyDescent="0.2">
      <c r="A332" s="12"/>
      <c r="B332" s="35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 spans="1:25" ht="14.25" x14ac:dyDescent="0.2">
      <c r="A333" s="12"/>
      <c r="B333" s="35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 spans="1:25" ht="14.25" x14ac:dyDescent="0.2">
      <c r="A334" s="12"/>
      <c r="B334" s="35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 spans="1:25" ht="14.25" x14ac:dyDescent="0.2">
      <c r="A335" s="12"/>
      <c r="B335" s="35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 spans="1:25" ht="14.25" x14ac:dyDescent="0.2">
      <c r="A336" s="12"/>
      <c r="B336" s="35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 spans="1:25" ht="14.25" x14ac:dyDescent="0.2">
      <c r="A337" s="12"/>
      <c r="B337" s="35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 spans="1:25" ht="14.25" x14ac:dyDescent="0.2">
      <c r="A338" s="12"/>
      <c r="B338" s="35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 spans="1:25" ht="14.25" x14ac:dyDescent="0.2">
      <c r="A339" s="12"/>
      <c r="B339" s="35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 spans="1:25" ht="14.25" x14ac:dyDescent="0.2">
      <c r="A340" s="12"/>
      <c r="B340" s="35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 spans="1:25" ht="14.25" x14ac:dyDescent="0.2">
      <c r="A341" s="12"/>
      <c r="B341" s="35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 spans="1:25" ht="14.25" x14ac:dyDescent="0.2">
      <c r="A342" s="12"/>
      <c r="B342" s="35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 spans="1:25" ht="14.25" x14ac:dyDescent="0.2">
      <c r="A343" s="12"/>
      <c r="B343" s="35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 spans="1:25" ht="14.25" x14ac:dyDescent="0.2">
      <c r="A344" s="12"/>
      <c r="B344" s="35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 spans="1:25" ht="14.25" x14ac:dyDescent="0.2">
      <c r="A345" s="12"/>
      <c r="B345" s="35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 spans="1:25" ht="14.25" x14ac:dyDescent="0.2">
      <c r="A346" s="12"/>
      <c r="B346" s="35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 spans="1:25" ht="14.25" x14ac:dyDescent="0.2">
      <c r="A347" s="12"/>
      <c r="B347" s="35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 spans="1:25" ht="14.25" x14ac:dyDescent="0.2">
      <c r="A348" s="12"/>
      <c r="B348" s="35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 spans="1:25" ht="14.25" x14ac:dyDescent="0.2">
      <c r="A349" s="12"/>
      <c r="B349" s="35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 spans="1:25" ht="14.25" x14ac:dyDescent="0.2">
      <c r="A350" s="12"/>
      <c r="B350" s="35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 spans="1:25" ht="14.25" x14ac:dyDescent="0.2">
      <c r="A351" s="12"/>
      <c r="B351" s="35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 spans="1:25" ht="14.25" x14ac:dyDescent="0.2">
      <c r="A352" s="12"/>
      <c r="B352" s="35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 spans="1:25" ht="14.25" x14ac:dyDescent="0.2">
      <c r="A353" s="12"/>
      <c r="B353" s="35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 spans="1:25" ht="14.25" x14ac:dyDescent="0.2">
      <c r="A354" s="12"/>
      <c r="B354" s="35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 spans="1:25" ht="14.25" x14ac:dyDescent="0.2">
      <c r="A355" s="12"/>
      <c r="B355" s="35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 spans="1:25" ht="14.25" x14ac:dyDescent="0.2">
      <c r="A356" s="12"/>
      <c r="B356" s="35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 spans="1:25" ht="14.25" x14ac:dyDescent="0.2">
      <c r="A357" s="12"/>
      <c r="B357" s="35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 spans="1:25" ht="14.25" x14ac:dyDescent="0.2">
      <c r="A358" s="12"/>
      <c r="B358" s="35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 spans="1:25" ht="14.25" x14ac:dyDescent="0.2">
      <c r="A359" s="12"/>
      <c r="B359" s="35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 spans="1:25" ht="14.25" x14ac:dyDescent="0.2">
      <c r="A360" s="12"/>
      <c r="B360" s="35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 spans="1:25" ht="14.25" x14ac:dyDescent="0.2">
      <c r="A361" s="12"/>
      <c r="B361" s="35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spans="1:25" ht="14.25" x14ac:dyDescent="0.2">
      <c r="A362" s="12"/>
      <c r="B362" s="35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spans="1:25" ht="14.25" x14ac:dyDescent="0.2">
      <c r="A363" s="12"/>
      <c r="B363" s="35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 spans="1:25" ht="14.25" x14ac:dyDescent="0.2">
      <c r="A364" s="12"/>
      <c r="B364" s="35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 spans="1:25" ht="14.25" x14ac:dyDescent="0.2">
      <c r="A365" s="12"/>
      <c r="B365" s="35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spans="1:25" ht="14.25" x14ac:dyDescent="0.2">
      <c r="A366" s="12"/>
      <c r="B366" s="35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spans="1:25" ht="14.25" x14ac:dyDescent="0.2">
      <c r="A367" s="12"/>
      <c r="B367" s="35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spans="1:25" ht="14.25" x14ac:dyDescent="0.2">
      <c r="A368" s="12"/>
      <c r="B368" s="35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spans="1:25" ht="14.25" x14ac:dyDescent="0.2">
      <c r="A369" s="12"/>
      <c r="B369" s="35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spans="1:25" ht="14.25" x14ac:dyDescent="0.2">
      <c r="A370" s="12"/>
      <c r="B370" s="35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spans="1:25" ht="14.25" x14ac:dyDescent="0.2">
      <c r="A371" s="12"/>
      <c r="B371" s="35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 spans="1:25" ht="14.25" x14ac:dyDescent="0.2">
      <c r="A372" s="12"/>
      <c r="B372" s="35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 spans="1:25" ht="14.25" x14ac:dyDescent="0.2">
      <c r="A373" s="12"/>
      <c r="B373" s="35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 spans="1:25" ht="14.25" x14ac:dyDescent="0.2">
      <c r="A374" s="12"/>
      <c r="B374" s="35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 spans="1:25" ht="14.25" x14ac:dyDescent="0.2">
      <c r="A375" s="12"/>
      <c r="B375" s="35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 spans="1:25" ht="14.25" x14ac:dyDescent="0.2">
      <c r="A376" s="12"/>
      <c r="B376" s="35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spans="1:25" ht="14.25" x14ac:dyDescent="0.2">
      <c r="A377" s="12"/>
      <c r="B377" s="35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spans="1:25" ht="14.25" x14ac:dyDescent="0.2">
      <c r="A378" s="12"/>
      <c r="B378" s="35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spans="1:25" ht="14.25" x14ac:dyDescent="0.2">
      <c r="A379" s="12"/>
      <c r="B379" s="35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 spans="1:25" ht="14.25" x14ac:dyDescent="0.2">
      <c r="A380" s="12"/>
      <c r="B380" s="35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 spans="1:25" ht="14.25" x14ac:dyDescent="0.2">
      <c r="A381" s="12"/>
      <c r="B381" s="35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 spans="1:25" ht="14.25" x14ac:dyDescent="0.2">
      <c r="A382" s="12"/>
      <c r="B382" s="35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 spans="1:25" ht="14.25" x14ac:dyDescent="0.2">
      <c r="A383" s="12"/>
      <c r="B383" s="35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 spans="1:25" ht="14.25" x14ac:dyDescent="0.2">
      <c r="A384" s="12"/>
      <c r="B384" s="35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 spans="1:25" ht="14.25" x14ac:dyDescent="0.2">
      <c r="A385" s="12"/>
      <c r="B385" s="35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 spans="1:25" ht="14.25" x14ac:dyDescent="0.2">
      <c r="A386" s="12"/>
      <c r="B386" s="35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 spans="1:25" ht="14.25" x14ac:dyDescent="0.2">
      <c r="A387" s="12"/>
      <c r="B387" s="35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 spans="1:25" ht="14.25" x14ac:dyDescent="0.2">
      <c r="A388" s="12"/>
      <c r="B388" s="35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 spans="1:25" ht="14.25" x14ac:dyDescent="0.2">
      <c r="A389" s="12"/>
      <c r="B389" s="35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 spans="1:25" ht="14.25" x14ac:dyDescent="0.2">
      <c r="A390" s="12"/>
      <c r="B390" s="35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 spans="1:25" ht="14.25" x14ac:dyDescent="0.2">
      <c r="A391" s="12"/>
      <c r="B391" s="35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 spans="1:25" ht="14.25" x14ac:dyDescent="0.2">
      <c r="A392" s="12"/>
      <c r="B392" s="35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 spans="1:25" ht="14.25" x14ac:dyDescent="0.2">
      <c r="A393" s="12"/>
      <c r="B393" s="35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spans="1:25" ht="14.25" x14ac:dyDescent="0.2">
      <c r="A394" s="12"/>
      <c r="B394" s="35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 spans="1:25" ht="14.25" x14ac:dyDescent="0.2">
      <c r="A395" s="12"/>
      <c r="B395" s="35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 spans="1:25" ht="14.25" x14ac:dyDescent="0.2">
      <c r="A396" s="12"/>
      <c r="B396" s="35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spans="1:25" ht="14.25" x14ac:dyDescent="0.2">
      <c r="A397" s="12"/>
      <c r="B397" s="35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spans="1:25" ht="14.25" x14ac:dyDescent="0.2">
      <c r="A398" s="12"/>
      <c r="B398" s="35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 spans="1:25" ht="14.25" x14ac:dyDescent="0.2">
      <c r="A399" s="12"/>
      <c r="B399" s="35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 spans="1:25" ht="14.25" x14ac:dyDescent="0.2">
      <c r="A400" s="12"/>
      <c r="B400" s="35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 spans="1:25" ht="14.25" x14ac:dyDescent="0.2">
      <c r="A401" s="12"/>
      <c r="B401" s="35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 spans="1:25" ht="14.25" x14ac:dyDescent="0.2">
      <c r="A402" s="12"/>
      <c r="B402" s="35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 spans="1:25" ht="14.25" x14ac:dyDescent="0.2">
      <c r="A403" s="12"/>
      <c r="B403" s="35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 spans="1:25" ht="14.25" x14ac:dyDescent="0.2">
      <c r="A404" s="12"/>
      <c r="B404" s="35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 spans="1:25" ht="14.25" x14ac:dyDescent="0.2">
      <c r="A405" s="12"/>
      <c r="B405" s="35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 spans="1:25" ht="14.25" x14ac:dyDescent="0.2">
      <c r="A406" s="12"/>
      <c r="B406" s="35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 spans="1:25" ht="14.25" x14ac:dyDescent="0.2">
      <c r="A407" s="12"/>
      <c r="B407" s="35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 spans="1:25" ht="14.25" x14ac:dyDescent="0.2">
      <c r="A408" s="12"/>
      <c r="B408" s="35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spans="1:25" ht="14.25" x14ac:dyDescent="0.2">
      <c r="A409" s="12"/>
      <c r="B409" s="35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 spans="1:25" ht="14.25" x14ac:dyDescent="0.2">
      <c r="A410" s="12"/>
      <c r="B410" s="35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 spans="1:25" ht="14.25" x14ac:dyDescent="0.2">
      <c r="A411" s="12"/>
      <c r="B411" s="35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spans="1:25" ht="14.25" x14ac:dyDescent="0.2">
      <c r="A412" s="12"/>
      <c r="B412" s="35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 spans="1:25" ht="14.25" x14ac:dyDescent="0.2">
      <c r="A413" s="12"/>
      <c r="B413" s="35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 spans="1:25" ht="14.25" x14ac:dyDescent="0.2">
      <c r="A414" s="12"/>
      <c r="B414" s="35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spans="1:25" ht="14.25" x14ac:dyDescent="0.2">
      <c r="A415" s="12"/>
      <c r="B415" s="35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spans="1:25" ht="14.25" x14ac:dyDescent="0.2">
      <c r="A416" s="12"/>
      <c r="B416" s="35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spans="1:25" ht="14.25" x14ac:dyDescent="0.2">
      <c r="A417" s="12"/>
      <c r="B417" s="35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 spans="1:25" ht="14.25" x14ac:dyDescent="0.2">
      <c r="A418" s="12"/>
      <c r="B418" s="35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 spans="1:25" ht="14.25" x14ac:dyDescent="0.2">
      <c r="A419" s="12"/>
      <c r="B419" s="35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spans="1:25" ht="14.25" x14ac:dyDescent="0.2">
      <c r="A420" s="12"/>
      <c r="B420" s="35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 spans="1:25" ht="14.25" x14ac:dyDescent="0.2">
      <c r="A421" s="12"/>
      <c r="B421" s="35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 spans="1:25" ht="14.25" x14ac:dyDescent="0.2">
      <c r="A422" s="12"/>
      <c r="B422" s="35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spans="1:25" ht="14.25" x14ac:dyDescent="0.2">
      <c r="A423" s="12"/>
      <c r="B423" s="35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 spans="1:25" ht="14.25" x14ac:dyDescent="0.2">
      <c r="A424" s="12"/>
      <c r="B424" s="35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spans="1:25" ht="14.25" x14ac:dyDescent="0.2">
      <c r="A425" s="12"/>
      <c r="B425" s="35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spans="1:25" ht="14.25" x14ac:dyDescent="0.2">
      <c r="A426" s="12"/>
      <c r="B426" s="35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spans="1:25" ht="14.25" x14ac:dyDescent="0.2">
      <c r="A427" s="12"/>
      <c r="B427" s="35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 spans="1:25" ht="14.25" x14ac:dyDescent="0.2">
      <c r="A428" s="12"/>
      <c r="B428" s="35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spans="1:25" ht="14.25" x14ac:dyDescent="0.2">
      <c r="A429" s="12"/>
      <c r="B429" s="35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spans="1:25" ht="14.25" x14ac:dyDescent="0.2">
      <c r="A430" s="12"/>
      <c r="B430" s="35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spans="1:25" ht="14.25" x14ac:dyDescent="0.2">
      <c r="A431" s="12"/>
      <c r="B431" s="35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 spans="1:25" ht="14.25" x14ac:dyDescent="0.2">
      <c r="A432" s="12"/>
      <c r="B432" s="35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spans="1:25" ht="14.25" x14ac:dyDescent="0.2">
      <c r="A433" s="12"/>
      <c r="B433" s="35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 spans="1:25" ht="14.25" x14ac:dyDescent="0.2">
      <c r="A434" s="12"/>
      <c r="B434" s="35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 spans="1:25" ht="14.25" x14ac:dyDescent="0.2">
      <c r="A435" s="12"/>
      <c r="B435" s="35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spans="1:25" ht="14.25" x14ac:dyDescent="0.2">
      <c r="A436" s="12"/>
      <c r="B436" s="35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spans="1:25" ht="14.25" x14ac:dyDescent="0.2">
      <c r="A437" s="12"/>
      <c r="B437" s="35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spans="1:25" ht="14.25" x14ac:dyDescent="0.2">
      <c r="A438" s="12"/>
      <c r="B438" s="35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spans="1:25" ht="14.25" x14ac:dyDescent="0.2">
      <c r="A439" s="12"/>
      <c r="B439" s="35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 spans="1:25" ht="14.25" x14ac:dyDescent="0.2">
      <c r="A440" s="12"/>
      <c r="B440" s="35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 spans="1:25" ht="14.25" x14ac:dyDescent="0.2">
      <c r="A441" s="12"/>
      <c r="B441" s="35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 spans="1:25" ht="14.25" x14ac:dyDescent="0.2">
      <c r="A442" s="12"/>
      <c r="B442" s="35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spans="1:25" ht="14.25" x14ac:dyDescent="0.2">
      <c r="A443" s="12"/>
      <c r="B443" s="35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 spans="1:25" ht="14.25" x14ac:dyDescent="0.2">
      <c r="A444" s="12"/>
      <c r="B444" s="35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 spans="1:25" ht="14.25" x14ac:dyDescent="0.2">
      <c r="A445" s="12"/>
      <c r="B445" s="35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 spans="1:25" ht="14.25" x14ac:dyDescent="0.2">
      <c r="A446" s="12"/>
      <c r="B446" s="35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 spans="1:25" ht="14.25" x14ac:dyDescent="0.2">
      <c r="A447" s="12"/>
      <c r="B447" s="35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 spans="1:25" ht="14.25" x14ac:dyDescent="0.2">
      <c r="A448" s="12"/>
      <c r="B448" s="35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 spans="1:25" ht="14.25" x14ac:dyDescent="0.2">
      <c r="A449" s="12"/>
      <c r="B449" s="35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 spans="1:25" ht="14.25" x14ac:dyDescent="0.2">
      <c r="A450" s="12"/>
      <c r="B450" s="35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 spans="1:25" ht="14.25" x14ac:dyDescent="0.2">
      <c r="A451" s="12"/>
      <c r="B451" s="35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 spans="1:25" ht="14.25" x14ac:dyDescent="0.2">
      <c r="A452" s="12"/>
      <c r="B452" s="35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spans="1:25" ht="14.25" x14ac:dyDescent="0.2">
      <c r="A453" s="12"/>
      <c r="B453" s="35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 spans="1:25" ht="14.25" x14ac:dyDescent="0.2">
      <c r="A454" s="12"/>
      <c r="B454" s="35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 spans="1:25" ht="14.25" x14ac:dyDescent="0.2">
      <c r="A455" s="12"/>
      <c r="B455" s="35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 spans="1:25" ht="14.25" x14ac:dyDescent="0.2">
      <c r="A456" s="12"/>
      <c r="B456" s="35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spans="1:25" ht="14.25" x14ac:dyDescent="0.2">
      <c r="A457" s="12"/>
      <c r="B457" s="35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 spans="1:25" ht="14.25" x14ac:dyDescent="0.2">
      <c r="A458" s="12"/>
      <c r="B458" s="35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 spans="1:25" ht="14.25" x14ac:dyDescent="0.2">
      <c r="A459" s="12"/>
      <c r="B459" s="35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 spans="1:25" ht="14.25" x14ac:dyDescent="0.2">
      <c r="A460" s="12"/>
      <c r="B460" s="35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spans="1:25" ht="14.25" x14ac:dyDescent="0.2">
      <c r="A461" s="12"/>
      <c r="B461" s="35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 spans="1:25" ht="14.25" x14ac:dyDescent="0.2">
      <c r="A462" s="12"/>
      <c r="B462" s="35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 spans="1:25" ht="14.25" x14ac:dyDescent="0.2">
      <c r="A463" s="12"/>
      <c r="B463" s="35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 spans="1:25" ht="14.25" x14ac:dyDescent="0.2">
      <c r="A464" s="12"/>
      <c r="B464" s="35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 spans="1:25" ht="14.25" x14ac:dyDescent="0.2">
      <c r="A465" s="12"/>
      <c r="B465" s="35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 spans="1:25" ht="14.25" x14ac:dyDescent="0.2">
      <c r="A466" s="12"/>
      <c r="B466" s="35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 spans="1:25" ht="14.25" x14ac:dyDescent="0.2">
      <c r="A467" s="12"/>
      <c r="B467" s="35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 spans="1:25" ht="14.25" x14ac:dyDescent="0.2">
      <c r="A468" s="12"/>
      <c r="B468" s="35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spans="1:25" ht="14.25" x14ac:dyDescent="0.2">
      <c r="A469" s="12"/>
      <c r="B469" s="35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spans="1:25" ht="14.25" x14ac:dyDescent="0.2">
      <c r="A470" s="12"/>
      <c r="B470" s="35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spans="1:25" ht="14.25" x14ac:dyDescent="0.2">
      <c r="A471" s="12"/>
      <c r="B471" s="35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 spans="1:25" ht="14.25" x14ac:dyDescent="0.2">
      <c r="A472" s="12"/>
      <c r="B472" s="35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 spans="1:25" ht="14.25" x14ac:dyDescent="0.2">
      <c r="A473" s="12"/>
      <c r="B473" s="35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spans="1:25" ht="14.25" x14ac:dyDescent="0.2">
      <c r="A474" s="12"/>
      <c r="B474" s="35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 spans="1:25" ht="14.25" x14ac:dyDescent="0.2">
      <c r="A475" s="12"/>
      <c r="B475" s="35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 spans="1:25" ht="14.25" x14ac:dyDescent="0.2">
      <c r="A476" s="12"/>
      <c r="B476" s="35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 spans="1:25" ht="14.25" x14ac:dyDescent="0.2">
      <c r="A477" s="12"/>
      <c r="B477" s="35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spans="1:25" ht="14.25" x14ac:dyDescent="0.2">
      <c r="A478" s="12"/>
      <c r="B478" s="35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 spans="1:25" ht="14.25" x14ac:dyDescent="0.2">
      <c r="A479" s="12"/>
      <c r="B479" s="35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 spans="1:25" ht="14.25" x14ac:dyDescent="0.2">
      <c r="A480" s="12"/>
      <c r="B480" s="35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 spans="1:25" ht="14.25" x14ac:dyDescent="0.2">
      <c r="A481" s="12"/>
      <c r="B481" s="35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 spans="1:25" ht="14.25" x14ac:dyDescent="0.2">
      <c r="A482" s="12"/>
      <c r="B482" s="35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 spans="1:25" ht="14.25" x14ac:dyDescent="0.2">
      <c r="A483" s="12"/>
      <c r="B483" s="35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 spans="1:25" ht="14.25" x14ac:dyDescent="0.2">
      <c r="A484" s="12"/>
      <c r="B484" s="35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 spans="1:25" ht="14.25" x14ac:dyDescent="0.2">
      <c r="A485" s="12"/>
      <c r="B485" s="35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 spans="1:25" ht="14.25" x14ac:dyDescent="0.2">
      <c r="A486" s="12"/>
      <c r="B486" s="35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spans="1:25" ht="14.25" x14ac:dyDescent="0.2">
      <c r="A487" s="12"/>
      <c r="B487" s="35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 spans="1:25" ht="14.25" x14ac:dyDescent="0.2">
      <c r="A488" s="12"/>
      <c r="B488" s="35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 spans="1:25" ht="14.25" x14ac:dyDescent="0.2">
      <c r="A489" s="12"/>
      <c r="B489" s="35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 spans="1:25" ht="14.25" x14ac:dyDescent="0.2">
      <c r="A490" s="12"/>
      <c r="B490" s="35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 spans="1:25" ht="14.25" x14ac:dyDescent="0.2">
      <c r="A491" s="12"/>
      <c r="B491" s="35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 spans="1:25" ht="14.25" x14ac:dyDescent="0.2">
      <c r="A492" s="12"/>
      <c r="B492" s="35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 spans="1:25" ht="14.25" x14ac:dyDescent="0.2">
      <c r="A493" s="12"/>
      <c r="B493" s="35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spans="1:25" ht="14.25" x14ac:dyDescent="0.2">
      <c r="A494" s="12"/>
      <c r="B494" s="35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 spans="1:25" ht="14.25" x14ac:dyDescent="0.2">
      <c r="A495" s="12"/>
      <c r="B495" s="35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 spans="1:25" ht="14.25" x14ac:dyDescent="0.2">
      <c r="A496" s="12"/>
      <c r="B496" s="35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spans="1:25" ht="14.25" x14ac:dyDescent="0.2">
      <c r="A497" s="12"/>
      <c r="B497" s="35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 spans="1:25" ht="14.25" x14ac:dyDescent="0.2">
      <c r="A498" s="12"/>
      <c r="B498" s="35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spans="1:25" ht="14.25" x14ac:dyDescent="0.2">
      <c r="A499" s="12"/>
      <c r="B499" s="35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spans="1:25" ht="14.25" x14ac:dyDescent="0.2">
      <c r="A500" s="12"/>
      <c r="B500" s="35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 spans="1:25" ht="14.25" x14ac:dyDescent="0.2">
      <c r="A501" s="12"/>
      <c r="B501" s="35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 spans="1:25" ht="14.25" x14ac:dyDescent="0.2">
      <c r="A502" s="12"/>
      <c r="B502" s="35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 spans="1:25" ht="14.25" x14ac:dyDescent="0.2">
      <c r="A503" s="12"/>
      <c r="B503" s="35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 spans="1:25" ht="14.25" x14ac:dyDescent="0.2">
      <c r="A504" s="12"/>
      <c r="B504" s="35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spans="1:25" ht="14.25" x14ac:dyDescent="0.2">
      <c r="A505" s="12"/>
      <c r="B505" s="35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spans="1:25" ht="14.25" x14ac:dyDescent="0.2">
      <c r="A506" s="12"/>
      <c r="B506" s="35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 spans="1:25" ht="14.25" x14ac:dyDescent="0.2">
      <c r="A507" s="12"/>
      <c r="B507" s="35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spans="1:25" ht="14.25" x14ac:dyDescent="0.2">
      <c r="A508" s="12"/>
      <c r="B508" s="35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 spans="1:25" ht="14.25" x14ac:dyDescent="0.2">
      <c r="A509" s="12"/>
      <c r="B509" s="35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 spans="1:25" ht="14.25" x14ac:dyDescent="0.2">
      <c r="A510" s="12"/>
      <c r="B510" s="35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 spans="1:25" ht="14.25" x14ac:dyDescent="0.2">
      <c r="A511" s="12"/>
      <c r="B511" s="35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spans="1:25" ht="14.25" x14ac:dyDescent="0.2">
      <c r="A512" s="12"/>
      <c r="B512" s="35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 spans="1:25" ht="14.25" x14ac:dyDescent="0.2">
      <c r="A513" s="12"/>
      <c r="B513" s="35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 spans="1:25" ht="14.25" x14ac:dyDescent="0.2">
      <c r="A514" s="12"/>
      <c r="B514" s="35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 spans="1:25" ht="14.25" x14ac:dyDescent="0.2">
      <c r="A515" s="12"/>
      <c r="B515" s="35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 spans="1:25" ht="14.25" x14ac:dyDescent="0.2">
      <c r="A516" s="12"/>
      <c r="B516" s="35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spans="1:25" ht="14.25" x14ac:dyDescent="0.2">
      <c r="A517" s="12"/>
      <c r="B517" s="35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 spans="1:25" ht="14.25" x14ac:dyDescent="0.2">
      <c r="A518" s="12"/>
      <c r="B518" s="35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 spans="1:25" ht="14.25" x14ac:dyDescent="0.2">
      <c r="A519" s="12"/>
      <c r="B519" s="35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 spans="1:25" ht="14.25" x14ac:dyDescent="0.2">
      <c r="A520" s="12"/>
      <c r="B520" s="35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 spans="1:25" ht="14.25" x14ac:dyDescent="0.2">
      <c r="A521" s="12"/>
      <c r="B521" s="35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 spans="1:25" ht="14.25" x14ac:dyDescent="0.2">
      <c r="A522" s="12"/>
      <c r="B522" s="35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 spans="1:25" ht="14.25" x14ac:dyDescent="0.2">
      <c r="A523" s="12"/>
      <c r="B523" s="35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 spans="1:25" ht="14.25" x14ac:dyDescent="0.2">
      <c r="A524" s="12"/>
      <c r="B524" s="35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 spans="1:25" ht="14.25" x14ac:dyDescent="0.2">
      <c r="A525" s="12"/>
      <c r="B525" s="35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 spans="1:25" ht="14.25" x14ac:dyDescent="0.2">
      <c r="A526" s="12"/>
      <c r="B526" s="35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 spans="1:25" ht="14.25" x14ac:dyDescent="0.2">
      <c r="A527" s="12"/>
      <c r="B527" s="35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 spans="1:25" ht="14.25" x14ac:dyDescent="0.2">
      <c r="A528" s="12"/>
      <c r="B528" s="35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 spans="1:25" ht="14.25" x14ac:dyDescent="0.2">
      <c r="A529" s="12"/>
      <c r="B529" s="35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 spans="1:25" ht="14.25" x14ac:dyDescent="0.2">
      <c r="A530" s="12"/>
      <c r="B530" s="35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 spans="1:25" ht="14.25" x14ac:dyDescent="0.2">
      <c r="A531" s="12"/>
      <c r="B531" s="35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 spans="1:25" ht="14.25" x14ac:dyDescent="0.2">
      <c r="A532" s="12"/>
      <c r="B532" s="35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 spans="1:25" ht="14.25" x14ac:dyDescent="0.2">
      <c r="A533" s="12"/>
      <c r="B533" s="35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 spans="1:25" ht="14.25" x14ac:dyDescent="0.2">
      <c r="A534" s="12"/>
      <c r="B534" s="35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 spans="1:25" ht="14.25" x14ac:dyDescent="0.2">
      <c r="A535" s="12"/>
      <c r="B535" s="35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 spans="1:25" ht="14.25" x14ac:dyDescent="0.2">
      <c r="A536" s="12"/>
      <c r="B536" s="35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 spans="1:25" ht="14.25" x14ac:dyDescent="0.2">
      <c r="A537" s="12"/>
      <c r="B537" s="35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 spans="1:25" ht="14.25" x14ac:dyDescent="0.2">
      <c r="A538" s="12"/>
      <c r="B538" s="35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 spans="1:25" ht="14.25" x14ac:dyDescent="0.2">
      <c r="A539" s="12"/>
      <c r="B539" s="35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 spans="1:25" ht="14.25" x14ac:dyDescent="0.2">
      <c r="A540" s="12"/>
      <c r="B540" s="35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 spans="1:25" ht="14.25" x14ac:dyDescent="0.2">
      <c r="A541" s="12"/>
      <c r="B541" s="35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 spans="1:25" ht="14.25" x14ac:dyDescent="0.2">
      <c r="A542" s="12"/>
      <c r="B542" s="35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 spans="1:25" ht="14.25" x14ac:dyDescent="0.2">
      <c r="A543" s="12"/>
      <c r="B543" s="35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 spans="1:25" ht="14.25" x14ac:dyDescent="0.2">
      <c r="A544" s="12"/>
      <c r="B544" s="35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 spans="1:25" ht="14.25" x14ac:dyDescent="0.2">
      <c r="A545" s="12"/>
      <c r="B545" s="35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 spans="1:25" ht="14.25" x14ac:dyDescent="0.2">
      <c r="A546" s="12"/>
      <c r="B546" s="35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 spans="1:25" ht="14.25" x14ac:dyDescent="0.2">
      <c r="A547" s="12"/>
      <c r="B547" s="35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 spans="1:25" ht="14.25" x14ac:dyDescent="0.2">
      <c r="A548" s="12"/>
      <c r="B548" s="35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 spans="1:25" ht="14.25" x14ac:dyDescent="0.2">
      <c r="A549" s="12"/>
      <c r="B549" s="35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 spans="1:25" ht="14.25" x14ac:dyDescent="0.2">
      <c r="A550" s="12"/>
      <c r="B550" s="35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 spans="1:25" ht="14.25" x14ac:dyDescent="0.2">
      <c r="A551" s="12"/>
      <c r="B551" s="35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 spans="1:25" ht="14.25" x14ac:dyDescent="0.2">
      <c r="A552" s="12"/>
      <c r="B552" s="35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 spans="1:25" ht="14.25" x14ac:dyDescent="0.2">
      <c r="A553" s="12"/>
      <c r="B553" s="35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 spans="1:25" ht="14.25" x14ac:dyDescent="0.2">
      <c r="A554" s="12"/>
      <c r="B554" s="35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 spans="1:25" ht="14.25" x14ac:dyDescent="0.2">
      <c r="A555" s="12"/>
      <c r="B555" s="35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 spans="1:25" ht="14.25" x14ac:dyDescent="0.2">
      <c r="A556" s="12"/>
      <c r="B556" s="35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 spans="1:25" ht="14.25" x14ac:dyDescent="0.2">
      <c r="A557" s="12"/>
      <c r="B557" s="35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 spans="1:25" ht="14.25" x14ac:dyDescent="0.2">
      <c r="A558" s="12"/>
      <c r="B558" s="35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 spans="1:25" ht="14.25" x14ac:dyDescent="0.2">
      <c r="A559" s="12"/>
      <c r="B559" s="35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 spans="1:25" ht="14.25" x14ac:dyDescent="0.2">
      <c r="A560" s="12"/>
      <c r="B560" s="35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 spans="1:25" ht="14.25" x14ac:dyDescent="0.2">
      <c r="A561" s="12"/>
      <c r="B561" s="35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 spans="1:25" ht="14.25" x14ac:dyDescent="0.2">
      <c r="A562" s="12"/>
      <c r="B562" s="35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 spans="1:25" ht="14.25" x14ac:dyDescent="0.2">
      <c r="A563" s="12"/>
      <c r="B563" s="35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 spans="1:25" ht="14.25" x14ac:dyDescent="0.2">
      <c r="A564" s="12"/>
      <c r="B564" s="35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 spans="1:25" ht="14.25" x14ac:dyDescent="0.2">
      <c r="A565" s="12"/>
      <c r="B565" s="35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 spans="1:25" ht="14.25" x14ac:dyDescent="0.2">
      <c r="A566" s="12"/>
      <c r="B566" s="35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 spans="1:25" ht="14.25" x14ac:dyDescent="0.2">
      <c r="A567" s="12"/>
      <c r="B567" s="35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 spans="1:25" ht="14.25" x14ac:dyDescent="0.2">
      <c r="A568" s="12"/>
      <c r="B568" s="35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 spans="1:25" ht="14.25" x14ac:dyDescent="0.2">
      <c r="A569" s="12"/>
      <c r="B569" s="35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 spans="1:25" ht="14.25" x14ac:dyDescent="0.2">
      <c r="A570" s="12"/>
      <c r="B570" s="35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 spans="1:25" ht="14.25" x14ac:dyDescent="0.2">
      <c r="A571" s="12"/>
      <c r="B571" s="35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 spans="1:25" ht="14.25" x14ac:dyDescent="0.2">
      <c r="A572" s="12"/>
      <c r="B572" s="35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 spans="1:25" ht="14.25" x14ac:dyDescent="0.2">
      <c r="A573" s="12"/>
      <c r="B573" s="35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 spans="1:25" ht="14.25" x14ac:dyDescent="0.2">
      <c r="A574" s="12"/>
      <c r="B574" s="35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 spans="1:25" ht="14.25" x14ac:dyDescent="0.2">
      <c r="A575" s="12"/>
      <c r="B575" s="35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 spans="1:25" ht="14.25" x14ac:dyDescent="0.2">
      <c r="A576" s="12"/>
      <c r="B576" s="35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 spans="1:25" ht="14.25" x14ac:dyDescent="0.2">
      <c r="A577" s="12"/>
      <c r="B577" s="35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 spans="1:25" ht="14.25" x14ac:dyDescent="0.2">
      <c r="A578" s="12"/>
      <c r="B578" s="35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 spans="1:25" ht="14.25" x14ac:dyDescent="0.2">
      <c r="A579" s="12"/>
      <c r="B579" s="35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 spans="1:25" ht="14.25" x14ac:dyDescent="0.2">
      <c r="A580" s="12"/>
      <c r="B580" s="35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 spans="1:25" ht="14.25" x14ac:dyDescent="0.2">
      <c r="A581" s="12"/>
      <c r="B581" s="35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 spans="1:25" ht="14.25" x14ac:dyDescent="0.2">
      <c r="A582" s="12"/>
      <c r="B582" s="35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 spans="1:25" ht="14.25" x14ac:dyDescent="0.2">
      <c r="A583" s="12"/>
      <c r="B583" s="35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 spans="1:25" ht="14.25" x14ac:dyDescent="0.2">
      <c r="A584" s="12"/>
      <c r="B584" s="35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 spans="1:25" ht="14.25" x14ac:dyDescent="0.2">
      <c r="A585" s="12"/>
      <c r="B585" s="35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 spans="1:25" ht="14.25" x14ac:dyDescent="0.2">
      <c r="A586" s="12"/>
      <c r="B586" s="35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 spans="1:25" ht="14.25" x14ac:dyDescent="0.2">
      <c r="A587" s="12"/>
      <c r="B587" s="35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 spans="1:25" ht="14.25" x14ac:dyDescent="0.2">
      <c r="A588" s="12"/>
      <c r="B588" s="35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 spans="1:25" ht="14.25" x14ac:dyDescent="0.2">
      <c r="A589" s="12"/>
      <c r="B589" s="35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 spans="1:25" ht="14.25" x14ac:dyDescent="0.2">
      <c r="A590" s="12"/>
      <c r="B590" s="35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 spans="1:25" ht="14.25" x14ac:dyDescent="0.2">
      <c r="A591" s="12"/>
      <c r="B591" s="35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 spans="1:25" ht="14.25" x14ac:dyDescent="0.2">
      <c r="A592" s="12"/>
      <c r="B592" s="35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 spans="1:25" ht="14.25" x14ac:dyDescent="0.2">
      <c r="A593" s="12"/>
      <c r="B593" s="35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 spans="1:25" ht="14.25" x14ac:dyDescent="0.2">
      <c r="A594" s="12"/>
      <c r="B594" s="35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 spans="1:25" ht="14.25" x14ac:dyDescent="0.2">
      <c r="A595" s="12"/>
      <c r="B595" s="35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 spans="1:25" ht="14.25" x14ac:dyDescent="0.2">
      <c r="A596" s="12"/>
      <c r="B596" s="35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 spans="1:25" ht="14.25" x14ac:dyDescent="0.2">
      <c r="A597" s="12"/>
      <c r="B597" s="35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 spans="1:25" ht="14.25" x14ac:dyDescent="0.2">
      <c r="A598" s="12"/>
      <c r="B598" s="35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 spans="1:25" ht="14.25" x14ac:dyDescent="0.2">
      <c r="A599" s="12"/>
      <c r="B599" s="35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 spans="1:25" ht="14.25" x14ac:dyDescent="0.2">
      <c r="A600" s="12"/>
      <c r="B600" s="35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 spans="1:25" ht="14.25" x14ac:dyDescent="0.2">
      <c r="A601" s="12"/>
      <c r="B601" s="35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 spans="1:25" ht="14.25" x14ac:dyDescent="0.2">
      <c r="A602" s="12"/>
      <c r="B602" s="35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 spans="1:25" ht="14.25" x14ac:dyDescent="0.2">
      <c r="A603" s="12"/>
      <c r="B603" s="35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 spans="1:25" ht="14.25" x14ac:dyDescent="0.2">
      <c r="A604" s="12"/>
      <c r="B604" s="35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 spans="1:25" ht="14.25" x14ac:dyDescent="0.2">
      <c r="A605" s="12"/>
      <c r="B605" s="35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 spans="1:25" ht="14.25" x14ac:dyDescent="0.2">
      <c r="A606" s="12"/>
      <c r="B606" s="35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 spans="1:25" ht="14.25" x14ac:dyDescent="0.2">
      <c r="A607" s="12"/>
      <c r="B607" s="35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 spans="1:25" ht="14.25" x14ac:dyDescent="0.2">
      <c r="A608" s="12"/>
      <c r="B608" s="35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 spans="1:25" ht="14.25" x14ac:dyDescent="0.2">
      <c r="A609" s="12"/>
      <c r="B609" s="35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 spans="1:25" ht="14.25" x14ac:dyDescent="0.2">
      <c r="A610" s="12"/>
      <c r="B610" s="35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 spans="1:25" ht="14.25" x14ac:dyDescent="0.2">
      <c r="A611" s="12"/>
      <c r="B611" s="35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 spans="1:25" ht="14.25" x14ac:dyDescent="0.2">
      <c r="A612" s="12"/>
      <c r="B612" s="35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 spans="1:25" ht="14.25" x14ac:dyDescent="0.2">
      <c r="A613" s="12"/>
      <c r="B613" s="35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 spans="1:25" ht="14.25" x14ac:dyDescent="0.2">
      <c r="A614" s="12"/>
      <c r="B614" s="35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 spans="1:25" ht="14.25" x14ac:dyDescent="0.2">
      <c r="A615" s="12"/>
      <c r="B615" s="35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 spans="1:25" ht="14.25" x14ac:dyDescent="0.2">
      <c r="A616" s="12"/>
      <c r="B616" s="35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 spans="1:25" ht="14.25" x14ac:dyDescent="0.2">
      <c r="A617" s="12"/>
      <c r="B617" s="35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 spans="1:25" ht="14.25" x14ac:dyDescent="0.2">
      <c r="A618" s="12"/>
      <c r="B618" s="35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 spans="1:25" ht="14.25" x14ac:dyDescent="0.2">
      <c r="A619" s="12"/>
      <c r="B619" s="35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 spans="1:25" ht="14.25" x14ac:dyDescent="0.2">
      <c r="A620" s="12"/>
      <c r="B620" s="35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 spans="1:25" ht="14.25" x14ac:dyDescent="0.2">
      <c r="A621" s="12"/>
      <c r="B621" s="35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 spans="1:25" ht="14.25" x14ac:dyDescent="0.2">
      <c r="A622" s="12"/>
      <c r="B622" s="35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 spans="1:25" ht="14.25" x14ac:dyDescent="0.2">
      <c r="A623" s="12"/>
      <c r="B623" s="35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 spans="1:25" ht="14.25" x14ac:dyDescent="0.2">
      <c r="A624" s="12"/>
      <c r="B624" s="35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 spans="1:25" ht="14.25" x14ac:dyDescent="0.2">
      <c r="A625" s="12"/>
      <c r="B625" s="35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 spans="1:25" ht="14.25" x14ac:dyDescent="0.2">
      <c r="A626" s="12"/>
      <c r="B626" s="35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 spans="1:25" ht="14.25" x14ac:dyDescent="0.2">
      <c r="A627" s="12"/>
      <c r="B627" s="35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 spans="1:25" ht="14.25" x14ac:dyDescent="0.2">
      <c r="A628" s="12"/>
      <c r="B628" s="35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 spans="1:25" ht="14.25" x14ac:dyDescent="0.2">
      <c r="A629" s="12"/>
      <c r="B629" s="35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 spans="1:25" ht="14.25" x14ac:dyDescent="0.2">
      <c r="A630" s="12"/>
      <c r="B630" s="35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 spans="1:25" ht="14.25" x14ac:dyDescent="0.2">
      <c r="A631" s="12"/>
      <c r="B631" s="35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 spans="1:25" ht="14.25" x14ac:dyDescent="0.2">
      <c r="A632" s="12"/>
      <c r="B632" s="35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 spans="1:25" ht="14.25" x14ac:dyDescent="0.2">
      <c r="A633" s="12"/>
      <c r="B633" s="35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 spans="1:25" ht="14.25" x14ac:dyDescent="0.2">
      <c r="A634" s="12"/>
      <c r="B634" s="35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 spans="1:25" ht="14.25" x14ac:dyDescent="0.2">
      <c r="A635" s="12"/>
      <c r="B635" s="35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 spans="1:25" ht="14.25" x14ac:dyDescent="0.2">
      <c r="A636" s="12"/>
      <c r="B636" s="35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 spans="1:25" ht="14.25" x14ac:dyDescent="0.2">
      <c r="A637" s="12"/>
      <c r="B637" s="35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 spans="1:25" ht="14.25" x14ac:dyDescent="0.2">
      <c r="A638" s="12"/>
      <c r="B638" s="35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 spans="1:25" ht="14.25" x14ac:dyDescent="0.2">
      <c r="A639" s="12"/>
      <c r="B639" s="35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 spans="1:25" ht="14.25" x14ac:dyDescent="0.2">
      <c r="A640" s="12"/>
      <c r="B640" s="35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 spans="1:25" ht="14.25" x14ac:dyDescent="0.2">
      <c r="A641" s="12"/>
      <c r="B641" s="35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 spans="1:25" ht="14.25" x14ac:dyDescent="0.2">
      <c r="A642" s="12"/>
      <c r="B642" s="35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 spans="1:25" ht="14.25" x14ac:dyDescent="0.2">
      <c r="A643" s="12"/>
      <c r="B643" s="35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 spans="1:25" ht="14.25" x14ac:dyDescent="0.2">
      <c r="A644" s="12"/>
      <c r="B644" s="35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 spans="1:25" ht="14.25" x14ac:dyDescent="0.2">
      <c r="A645" s="12"/>
      <c r="B645" s="35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 spans="1:25" ht="14.25" x14ac:dyDescent="0.2">
      <c r="A646" s="12"/>
      <c r="B646" s="35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 spans="1:25" ht="14.25" x14ac:dyDescent="0.2">
      <c r="A647" s="12"/>
      <c r="B647" s="35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 spans="1:25" ht="14.25" x14ac:dyDescent="0.2">
      <c r="A648" s="12"/>
      <c r="B648" s="35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 spans="1:25" ht="14.25" x14ac:dyDescent="0.2">
      <c r="A649" s="12"/>
      <c r="B649" s="35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 spans="1:25" ht="14.25" x14ac:dyDescent="0.2">
      <c r="A650" s="12"/>
      <c r="B650" s="35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 spans="1:25" ht="14.25" x14ac:dyDescent="0.2">
      <c r="A651" s="12"/>
      <c r="B651" s="35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 spans="1:25" ht="14.25" x14ac:dyDescent="0.2">
      <c r="A652" s="12"/>
      <c r="B652" s="35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 spans="1:25" ht="14.25" x14ac:dyDescent="0.2">
      <c r="A653" s="12"/>
      <c r="B653" s="35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 spans="1:25" ht="14.25" x14ac:dyDescent="0.2">
      <c r="A654" s="12"/>
      <c r="B654" s="35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 spans="1:25" ht="14.25" x14ac:dyDescent="0.2">
      <c r="A655" s="12"/>
      <c r="B655" s="35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 spans="1:25" ht="14.25" x14ac:dyDescent="0.2">
      <c r="A656" s="12"/>
      <c r="B656" s="35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 spans="1:25" ht="14.25" x14ac:dyDescent="0.2">
      <c r="A657" s="12"/>
      <c r="B657" s="35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 spans="1:25" ht="14.25" x14ac:dyDescent="0.2">
      <c r="A658" s="12"/>
      <c r="B658" s="35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 spans="1:25" ht="14.25" x14ac:dyDescent="0.2">
      <c r="A659" s="12"/>
      <c r="B659" s="35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 spans="1:25" ht="14.25" x14ac:dyDescent="0.2">
      <c r="A660" s="12"/>
      <c r="B660" s="35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 spans="1:25" ht="14.25" x14ac:dyDescent="0.2">
      <c r="A661" s="12"/>
      <c r="B661" s="35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 spans="1:25" ht="14.25" x14ac:dyDescent="0.2">
      <c r="A662" s="12"/>
      <c r="B662" s="35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 spans="1:25" ht="14.25" x14ac:dyDescent="0.2">
      <c r="A663" s="12"/>
      <c r="B663" s="35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 spans="1:25" ht="14.25" x14ac:dyDescent="0.2">
      <c r="A664" s="12"/>
      <c r="B664" s="35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 spans="1:25" ht="14.25" x14ac:dyDescent="0.2">
      <c r="A665" s="12"/>
      <c r="B665" s="35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 spans="1:25" ht="14.25" x14ac:dyDescent="0.2">
      <c r="A666" s="12"/>
      <c r="B666" s="35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 spans="1:25" ht="14.25" x14ac:dyDescent="0.2">
      <c r="A667" s="12"/>
      <c r="B667" s="35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 spans="1:25" ht="14.25" x14ac:dyDescent="0.2">
      <c r="A668" s="12"/>
      <c r="B668" s="35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 spans="1:25" ht="14.25" x14ac:dyDescent="0.2">
      <c r="A669" s="12"/>
      <c r="B669" s="35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 spans="1:25" ht="14.25" x14ac:dyDescent="0.2">
      <c r="A670" s="12"/>
      <c r="B670" s="35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 spans="1:25" ht="14.25" x14ac:dyDescent="0.2">
      <c r="A671" s="12"/>
      <c r="B671" s="35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 spans="1:25" ht="14.25" x14ac:dyDescent="0.2">
      <c r="A672" s="12"/>
      <c r="B672" s="35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 spans="1:25" ht="14.25" x14ac:dyDescent="0.2">
      <c r="A673" s="12"/>
      <c r="B673" s="35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 spans="1:25" ht="14.25" x14ac:dyDescent="0.2">
      <c r="A674" s="12"/>
      <c r="B674" s="35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 spans="1:25" ht="14.25" x14ac:dyDescent="0.2">
      <c r="A675" s="12"/>
      <c r="B675" s="35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 spans="1:25" ht="14.25" x14ac:dyDescent="0.2">
      <c r="A676" s="12"/>
      <c r="B676" s="35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 spans="1:25" ht="14.25" x14ac:dyDescent="0.2">
      <c r="A677" s="12"/>
      <c r="B677" s="35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 spans="1:25" ht="14.25" x14ac:dyDescent="0.2">
      <c r="A678" s="12"/>
      <c r="B678" s="35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 spans="1:25" ht="14.25" x14ac:dyDescent="0.2">
      <c r="A679" s="12"/>
      <c r="B679" s="35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 spans="1:25" ht="14.25" x14ac:dyDescent="0.2">
      <c r="A680" s="12"/>
      <c r="B680" s="35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 spans="1:25" ht="14.25" x14ac:dyDescent="0.2">
      <c r="A681" s="12"/>
      <c r="B681" s="35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 spans="1:25" ht="14.25" x14ac:dyDescent="0.2">
      <c r="A682" s="12"/>
      <c r="B682" s="35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 spans="1:25" ht="14.25" x14ac:dyDescent="0.2">
      <c r="A683" s="12"/>
      <c r="B683" s="35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 spans="1:25" ht="14.25" x14ac:dyDescent="0.2">
      <c r="A684" s="12"/>
      <c r="B684" s="35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 spans="1:25" ht="14.25" x14ac:dyDescent="0.2">
      <c r="A685" s="12"/>
      <c r="B685" s="35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 spans="1:25" ht="14.25" x14ac:dyDescent="0.2">
      <c r="A686" s="12"/>
      <c r="B686" s="35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 spans="1:25" ht="14.25" x14ac:dyDescent="0.2">
      <c r="A687" s="12"/>
      <c r="B687" s="35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 spans="1:25" ht="14.25" x14ac:dyDescent="0.2">
      <c r="A688" s="12"/>
      <c r="B688" s="35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 spans="1:25" ht="14.25" x14ac:dyDescent="0.2">
      <c r="A689" s="12"/>
      <c r="B689" s="35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 spans="1:25" ht="14.25" x14ac:dyDescent="0.2">
      <c r="A690" s="12"/>
      <c r="B690" s="35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 spans="1:25" ht="14.25" x14ac:dyDescent="0.2">
      <c r="A691" s="12"/>
      <c r="B691" s="35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 spans="1:25" ht="14.25" x14ac:dyDescent="0.2">
      <c r="A692" s="12"/>
      <c r="B692" s="35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 spans="1:25" ht="14.25" x14ac:dyDescent="0.2">
      <c r="A693" s="12"/>
      <c r="B693" s="35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 spans="1:25" ht="14.25" x14ac:dyDescent="0.2">
      <c r="A694" s="12"/>
      <c r="B694" s="35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 spans="1:25" ht="14.25" x14ac:dyDescent="0.2">
      <c r="A695" s="12"/>
      <c r="B695" s="35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 spans="1:25" ht="14.25" x14ac:dyDescent="0.2">
      <c r="A696" s="12"/>
      <c r="B696" s="35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 spans="1:25" ht="14.25" x14ac:dyDescent="0.2">
      <c r="A697" s="12"/>
      <c r="B697" s="35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 spans="1:25" ht="14.25" x14ac:dyDescent="0.2">
      <c r="A698" s="12"/>
      <c r="B698" s="35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 spans="1:25" ht="14.25" x14ac:dyDescent="0.2">
      <c r="A699" s="12"/>
      <c r="B699" s="35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 spans="1:25" ht="14.25" x14ac:dyDescent="0.2">
      <c r="A700" s="12"/>
      <c r="B700" s="35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 spans="1:25" ht="14.25" x14ac:dyDescent="0.2">
      <c r="A701" s="12"/>
      <c r="B701" s="35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 spans="1:25" ht="14.25" x14ac:dyDescent="0.2">
      <c r="A702" s="12"/>
      <c r="B702" s="35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 spans="1:25" ht="14.25" x14ac:dyDescent="0.2">
      <c r="A703" s="12"/>
      <c r="B703" s="35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 spans="1:25" ht="14.25" x14ac:dyDescent="0.2">
      <c r="A704" s="12"/>
      <c r="B704" s="35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 spans="1:25" ht="14.25" x14ac:dyDescent="0.2">
      <c r="A705" s="12"/>
      <c r="B705" s="35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 spans="1:25" ht="14.25" x14ac:dyDescent="0.2">
      <c r="A706" s="12"/>
      <c r="B706" s="35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 spans="1:25" ht="14.25" x14ac:dyDescent="0.2">
      <c r="A707" s="12"/>
      <c r="B707" s="35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 spans="1:25" ht="14.25" x14ac:dyDescent="0.2">
      <c r="A708" s="12"/>
      <c r="B708" s="35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 spans="1:25" ht="14.25" x14ac:dyDescent="0.2">
      <c r="A709" s="12"/>
      <c r="B709" s="35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 spans="1:25" ht="14.25" x14ac:dyDescent="0.2">
      <c r="A710" s="12"/>
      <c r="B710" s="35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 spans="1:25" ht="14.25" x14ac:dyDescent="0.2">
      <c r="A711" s="12"/>
      <c r="B711" s="35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 spans="1:25" ht="14.25" x14ac:dyDescent="0.2">
      <c r="A712" s="12"/>
      <c r="B712" s="35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 spans="1:25" ht="14.25" x14ac:dyDescent="0.2">
      <c r="A713" s="12"/>
      <c r="B713" s="35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 spans="1:25" ht="14.25" x14ac:dyDescent="0.2">
      <c r="A714" s="12"/>
      <c r="B714" s="35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 spans="1:25" ht="14.25" x14ac:dyDescent="0.2">
      <c r="A715" s="12"/>
      <c r="B715" s="35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 spans="1:25" ht="14.25" x14ac:dyDescent="0.2">
      <c r="A716" s="12"/>
      <c r="B716" s="35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 spans="1:25" ht="14.25" x14ac:dyDescent="0.2">
      <c r="A717" s="12"/>
      <c r="B717" s="35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 spans="1:25" ht="14.25" x14ac:dyDescent="0.2">
      <c r="A718" s="12"/>
      <c r="B718" s="35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 spans="1:25" ht="14.25" x14ac:dyDescent="0.2">
      <c r="A719" s="12"/>
      <c r="B719" s="35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 spans="1:25" ht="14.25" x14ac:dyDescent="0.2">
      <c r="A720" s="12"/>
      <c r="B720" s="35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 spans="1:25" ht="14.25" x14ac:dyDescent="0.2">
      <c r="A721" s="12"/>
      <c r="B721" s="35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 spans="1:25" ht="14.25" x14ac:dyDescent="0.2">
      <c r="A722" s="12"/>
      <c r="B722" s="35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 spans="1:25" ht="14.25" x14ac:dyDescent="0.2">
      <c r="A723" s="12"/>
      <c r="B723" s="35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 spans="1:25" ht="14.25" x14ac:dyDescent="0.2">
      <c r="A724" s="12"/>
      <c r="B724" s="35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 spans="1:25" ht="14.25" x14ac:dyDescent="0.2">
      <c r="A725" s="12"/>
      <c r="B725" s="35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 spans="1:25" ht="14.25" x14ac:dyDescent="0.2">
      <c r="A726" s="12"/>
      <c r="B726" s="35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 spans="1:25" ht="14.25" x14ac:dyDescent="0.2">
      <c r="A727" s="12"/>
      <c r="B727" s="35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 spans="1:25" ht="14.25" x14ac:dyDescent="0.2">
      <c r="A728" s="12"/>
      <c r="B728" s="35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 spans="1:25" ht="14.25" x14ac:dyDescent="0.2">
      <c r="A729" s="12"/>
      <c r="B729" s="35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 spans="1:25" ht="14.25" x14ac:dyDescent="0.2">
      <c r="A730" s="12"/>
      <c r="B730" s="35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 spans="1:25" ht="14.25" x14ac:dyDescent="0.2">
      <c r="A731" s="12"/>
      <c r="B731" s="35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 spans="1:25" ht="14.25" x14ac:dyDescent="0.2">
      <c r="A732" s="12"/>
      <c r="B732" s="35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 spans="1:25" ht="14.25" x14ac:dyDescent="0.2">
      <c r="A733" s="12"/>
      <c r="B733" s="35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 spans="1:25" ht="14.25" x14ac:dyDescent="0.2">
      <c r="A734" s="12"/>
      <c r="B734" s="35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 spans="1:25" ht="14.25" x14ac:dyDescent="0.2">
      <c r="A735" s="12"/>
      <c r="B735" s="35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 spans="1:25" ht="14.25" x14ac:dyDescent="0.2">
      <c r="A736" s="12"/>
      <c r="B736" s="35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 spans="1:25" ht="14.25" x14ac:dyDescent="0.2">
      <c r="A737" s="12"/>
      <c r="B737" s="35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 spans="1:25" ht="14.25" x14ac:dyDescent="0.2">
      <c r="A738" s="12"/>
      <c r="B738" s="35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 spans="1:25" ht="14.25" x14ac:dyDescent="0.2">
      <c r="A739" s="12"/>
      <c r="B739" s="35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 spans="1:25" ht="14.25" x14ac:dyDescent="0.2">
      <c r="A740" s="12"/>
      <c r="B740" s="35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 spans="1:25" ht="14.25" x14ac:dyDescent="0.2">
      <c r="A741" s="12"/>
      <c r="B741" s="35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 spans="1:25" ht="14.25" x14ac:dyDescent="0.2">
      <c r="A742" s="12"/>
      <c r="B742" s="35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 spans="1:25" ht="14.25" x14ac:dyDescent="0.2">
      <c r="A743" s="12"/>
      <c r="B743" s="35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 spans="1:25" ht="14.25" x14ac:dyDescent="0.2">
      <c r="A744" s="12"/>
      <c r="B744" s="35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 spans="1:25" ht="14.25" x14ac:dyDescent="0.2">
      <c r="A745" s="12"/>
      <c r="B745" s="35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 spans="1:25" ht="14.25" x14ac:dyDescent="0.2">
      <c r="A746" s="12"/>
      <c r="B746" s="35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 spans="1:25" ht="14.25" x14ac:dyDescent="0.2">
      <c r="A747" s="12"/>
      <c r="B747" s="35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 spans="1:25" ht="14.25" x14ac:dyDescent="0.2">
      <c r="A748" s="12"/>
      <c r="B748" s="35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 spans="1:25" ht="14.25" x14ac:dyDescent="0.2">
      <c r="A749" s="12"/>
      <c r="B749" s="35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 spans="1:25" ht="14.25" x14ac:dyDescent="0.2">
      <c r="A750" s="12"/>
      <c r="B750" s="35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 spans="1:25" ht="14.25" x14ac:dyDescent="0.2">
      <c r="A751" s="12"/>
      <c r="B751" s="35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 spans="1:25" ht="14.25" x14ac:dyDescent="0.2">
      <c r="A752" s="12"/>
      <c r="B752" s="35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 spans="1:25" ht="14.25" x14ac:dyDescent="0.2">
      <c r="A753" s="12"/>
      <c r="B753" s="35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 spans="1:25" ht="14.25" x14ac:dyDescent="0.2">
      <c r="A754" s="12"/>
      <c r="B754" s="35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 spans="1:25" ht="14.25" x14ac:dyDescent="0.2">
      <c r="A755" s="12"/>
      <c r="B755" s="35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 spans="1:25" ht="14.25" x14ac:dyDescent="0.2">
      <c r="A756" s="12"/>
      <c r="B756" s="35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 spans="1:25" ht="14.25" x14ac:dyDescent="0.2">
      <c r="A757" s="12"/>
      <c r="B757" s="35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 spans="1:25" ht="14.25" x14ac:dyDescent="0.2">
      <c r="A758" s="12"/>
      <c r="B758" s="35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 spans="1:25" ht="14.25" x14ac:dyDescent="0.2">
      <c r="A759" s="12"/>
      <c r="B759" s="35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 spans="1:25" ht="14.25" x14ac:dyDescent="0.2">
      <c r="A760" s="12"/>
      <c r="B760" s="35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 spans="1:25" ht="14.25" x14ac:dyDescent="0.2">
      <c r="A761" s="12"/>
      <c r="B761" s="35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 spans="1:25" ht="14.25" x14ac:dyDescent="0.2">
      <c r="A762" s="12"/>
      <c r="B762" s="35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 spans="1:25" ht="14.25" x14ac:dyDescent="0.2">
      <c r="A763" s="12"/>
      <c r="B763" s="35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 spans="1:25" ht="14.25" x14ac:dyDescent="0.2">
      <c r="A764" s="12"/>
      <c r="B764" s="35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 spans="1:25" ht="14.25" x14ac:dyDescent="0.2">
      <c r="A765" s="12"/>
      <c r="B765" s="35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 spans="1:25" ht="14.25" x14ac:dyDescent="0.2">
      <c r="A766" s="12"/>
      <c r="B766" s="35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 spans="1:25" ht="14.25" x14ac:dyDescent="0.2">
      <c r="A767" s="12"/>
      <c r="B767" s="35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 spans="1:25" ht="14.25" x14ac:dyDescent="0.2">
      <c r="A768" s="12"/>
      <c r="B768" s="35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 spans="1:25" ht="14.25" x14ac:dyDescent="0.2">
      <c r="A769" s="12"/>
      <c r="B769" s="35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 spans="1:25" ht="14.25" x14ac:dyDescent="0.2">
      <c r="A770" s="12"/>
      <c r="B770" s="35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 spans="1:25" ht="14.25" x14ac:dyDescent="0.2">
      <c r="A771" s="12"/>
      <c r="B771" s="35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 spans="1:25" ht="14.25" x14ac:dyDescent="0.2">
      <c r="A772" s="12"/>
      <c r="B772" s="35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 spans="1:25" ht="14.25" x14ac:dyDescent="0.2">
      <c r="A773" s="12"/>
      <c r="B773" s="35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 spans="1:25" ht="14.25" x14ac:dyDescent="0.2">
      <c r="A774" s="12"/>
      <c r="B774" s="35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 spans="1:25" ht="14.25" x14ac:dyDescent="0.2">
      <c r="A775" s="12"/>
      <c r="B775" s="35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 spans="1:25" ht="14.25" x14ac:dyDescent="0.2">
      <c r="A776" s="12"/>
      <c r="B776" s="35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 spans="1:25" ht="14.25" x14ac:dyDescent="0.2">
      <c r="A777" s="12"/>
      <c r="B777" s="35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 spans="1:25" ht="14.25" x14ac:dyDescent="0.2">
      <c r="A778" s="12"/>
      <c r="B778" s="35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 spans="1:25" ht="14.25" x14ac:dyDescent="0.2">
      <c r="A779" s="12"/>
      <c r="B779" s="35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 spans="1:25" ht="14.25" x14ac:dyDescent="0.2">
      <c r="A780" s="12"/>
      <c r="B780" s="35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 spans="1:25" ht="14.25" x14ac:dyDescent="0.2">
      <c r="A781" s="12"/>
      <c r="B781" s="35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 spans="1:25" ht="14.25" x14ac:dyDescent="0.2">
      <c r="A782" s="12"/>
      <c r="B782" s="35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 spans="1:25" ht="14.25" x14ac:dyDescent="0.2">
      <c r="A783" s="12"/>
      <c r="B783" s="35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 spans="1:25" ht="14.25" x14ac:dyDescent="0.2">
      <c r="A784" s="12"/>
      <c r="B784" s="35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 spans="1:25" ht="14.25" x14ac:dyDescent="0.2">
      <c r="A785" s="12"/>
      <c r="B785" s="35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 spans="1:25" ht="14.25" x14ac:dyDescent="0.2">
      <c r="A786" s="12"/>
      <c r="B786" s="35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 spans="1:25" ht="14.25" x14ac:dyDescent="0.2">
      <c r="A787" s="12"/>
      <c r="B787" s="35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 spans="1:25" ht="14.25" x14ac:dyDescent="0.2">
      <c r="A788" s="12"/>
      <c r="B788" s="35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 spans="1:25" ht="14.25" x14ac:dyDescent="0.2">
      <c r="A789" s="12"/>
      <c r="B789" s="35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 spans="1:25" ht="14.25" x14ac:dyDescent="0.2">
      <c r="A790" s="12"/>
      <c r="B790" s="35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 spans="1:25" ht="14.25" x14ac:dyDescent="0.2">
      <c r="A791" s="12"/>
      <c r="B791" s="35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 spans="1:25" ht="14.25" x14ac:dyDescent="0.2">
      <c r="A792" s="12"/>
      <c r="B792" s="35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 spans="1:25" ht="14.25" x14ac:dyDescent="0.2">
      <c r="A793" s="12"/>
      <c r="B793" s="35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 spans="1:25" ht="14.25" x14ac:dyDescent="0.2">
      <c r="A794" s="12"/>
      <c r="B794" s="35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 spans="1:25" ht="14.25" x14ac:dyDescent="0.2">
      <c r="A795" s="12"/>
      <c r="B795" s="35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 spans="1:25" ht="14.25" x14ac:dyDescent="0.2">
      <c r="A796" s="12"/>
      <c r="B796" s="35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 spans="1:25" ht="14.25" x14ac:dyDescent="0.2">
      <c r="A797" s="12"/>
      <c r="B797" s="35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 spans="1:25" ht="14.25" x14ac:dyDescent="0.2">
      <c r="A798" s="12"/>
      <c r="B798" s="35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 spans="1:25" ht="14.25" x14ac:dyDescent="0.2">
      <c r="A799" s="12"/>
      <c r="B799" s="35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 spans="1:25" ht="14.25" x14ac:dyDescent="0.2">
      <c r="A800" s="12"/>
      <c r="B800" s="35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 spans="1:25" ht="14.25" x14ac:dyDescent="0.2">
      <c r="A801" s="12"/>
      <c r="B801" s="35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 spans="1:25" ht="14.25" x14ac:dyDescent="0.2">
      <c r="A802" s="12"/>
      <c r="B802" s="35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 spans="1:25" ht="14.25" x14ac:dyDescent="0.2">
      <c r="A803" s="12"/>
      <c r="B803" s="35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 spans="1:25" ht="14.25" x14ac:dyDescent="0.2">
      <c r="A804" s="12"/>
      <c r="B804" s="35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 spans="1:25" ht="14.25" x14ac:dyDescent="0.2">
      <c r="A805" s="12"/>
      <c r="B805" s="35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 spans="1:25" ht="14.25" x14ac:dyDescent="0.2">
      <c r="A806" s="12"/>
      <c r="B806" s="35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 spans="1:25" ht="14.25" x14ac:dyDescent="0.2">
      <c r="A807" s="12"/>
      <c r="B807" s="35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 spans="1:25" ht="14.25" x14ac:dyDescent="0.2">
      <c r="A808" s="12"/>
      <c r="B808" s="35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 spans="1:25" ht="14.25" x14ac:dyDescent="0.2">
      <c r="A809" s="12"/>
      <c r="B809" s="35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 spans="1:25" ht="14.25" x14ac:dyDescent="0.2">
      <c r="A810" s="12"/>
      <c r="B810" s="35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 spans="1:25" ht="14.25" x14ac:dyDescent="0.2">
      <c r="A811" s="12"/>
      <c r="B811" s="35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 spans="1:25" ht="14.25" x14ac:dyDescent="0.2">
      <c r="A812" s="12"/>
      <c r="B812" s="35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 spans="1:25" ht="14.25" x14ac:dyDescent="0.2">
      <c r="A813" s="12"/>
      <c r="B813" s="35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 spans="1:25" ht="14.25" x14ac:dyDescent="0.2">
      <c r="A814" s="12"/>
      <c r="B814" s="35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 spans="1:25" ht="14.25" x14ac:dyDescent="0.2">
      <c r="A815" s="12"/>
      <c r="B815" s="35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 spans="1:25" ht="14.25" x14ac:dyDescent="0.2">
      <c r="A816" s="12"/>
      <c r="B816" s="35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 spans="1:25" ht="14.25" x14ac:dyDescent="0.2">
      <c r="A817" s="12"/>
      <c r="B817" s="35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 spans="1:25" ht="14.25" x14ac:dyDescent="0.2">
      <c r="A818" s="12"/>
      <c r="B818" s="35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 spans="1:25" ht="14.25" x14ac:dyDescent="0.2">
      <c r="A819" s="12"/>
      <c r="B819" s="35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 spans="1:25" ht="14.25" x14ac:dyDescent="0.2">
      <c r="A820" s="12"/>
      <c r="B820" s="35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 spans="1:25" ht="14.25" x14ac:dyDescent="0.2">
      <c r="A821" s="12"/>
      <c r="B821" s="35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 spans="1:25" ht="14.25" x14ac:dyDescent="0.2">
      <c r="A822" s="12"/>
      <c r="B822" s="35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 spans="1:25" ht="14.25" x14ac:dyDescent="0.2">
      <c r="A823" s="12"/>
      <c r="B823" s="35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 spans="1:25" ht="14.25" x14ac:dyDescent="0.2">
      <c r="A824" s="12"/>
      <c r="B824" s="35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 spans="1:25" ht="14.25" x14ac:dyDescent="0.2">
      <c r="A825" s="12"/>
      <c r="B825" s="35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 spans="1:25" ht="14.25" x14ac:dyDescent="0.2">
      <c r="A826" s="12"/>
      <c r="B826" s="35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 spans="1:25" ht="14.25" x14ac:dyDescent="0.2">
      <c r="A827" s="12"/>
      <c r="B827" s="35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 spans="1:25" ht="14.25" x14ac:dyDescent="0.2">
      <c r="A828" s="12"/>
      <c r="B828" s="35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 spans="1:25" ht="14.25" x14ac:dyDescent="0.2">
      <c r="A829" s="12"/>
      <c r="B829" s="35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 spans="1:25" ht="14.25" x14ac:dyDescent="0.2">
      <c r="A830" s="12"/>
      <c r="B830" s="35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 spans="1:25" ht="14.25" x14ac:dyDescent="0.2">
      <c r="A831" s="12"/>
      <c r="B831" s="35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 spans="1:25" ht="14.25" x14ac:dyDescent="0.2">
      <c r="A832" s="12"/>
      <c r="B832" s="35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 spans="1:25" ht="14.25" x14ac:dyDescent="0.2">
      <c r="A833" s="12"/>
      <c r="B833" s="35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 spans="1:25" ht="14.25" x14ac:dyDescent="0.2">
      <c r="A834" s="12"/>
      <c r="B834" s="35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 spans="1:25" ht="14.25" x14ac:dyDescent="0.2">
      <c r="A835" s="12"/>
      <c r="B835" s="35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 spans="1:25" ht="14.25" x14ac:dyDescent="0.2">
      <c r="A836" s="12"/>
      <c r="B836" s="35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 spans="1:25" ht="14.25" x14ac:dyDescent="0.2">
      <c r="A837" s="12"/>
      <c r="B837" s="35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 spans="1:25" ht="14.25" x14ac:dyDescent="0.2">
      <c r="A838" s="12"/>
      <c r="B838" s="35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 spans="1:25" ht="14.25" x14ac:dyDescent="0.2">
      <c r="A839" s="12"/>
      <c r="B839" s="35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 spans="1:25" ht="14.25" x14ac:dyDescent="0.2">
      <c r="A840" s="12"/>
      <c r="B840" s="35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 spans="1:25" ht="14.25" x14ac:dyDescent="0.2">
      <c r="A841" s="12"/>
      <c r="B841" s="35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 spans="1:25" ht="14.25" x14ac:dyDescent="0.2">
      <c r="A842" s="12"/>
      <c r="B842" s="35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 spans="1:25" ht="14.25" x14ac:dyDescent="0.2">
      <c r="A843" s="12"/>
      <c r="B843" s="35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 spans="1:25" ht="14.25" x14ac:dyDescent="0.2">
      <c r="A844" s="12"/>
      <c r="B844" s="35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 spans="1:25" ht="14.25" x14ac:dyDescent="0.2">
      <c r="A845" s="12"/>
      <c r="B845" s="35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 spans="1:25" ht="14.25" x14ac:dyDescent="0.2">
      <c r="A846" s="12"/>
      <c r="B846" s="35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 spans="1:25" ht="14.25" x14ac:dyDescent="0.2">
      <c r="A847" s="12"/>
      <c r="B847" s="35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 spans="1:25" ht="14.25" x14ac:dyDescent="0.2">
      <c r="A848" s="12"/>
      <c r="B848" s="35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 spans="1:25" ht="14.25" x14ac:dyDescent="0.2">
      <c r="A849" s="12"/>
      <c r="B849" s="35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 spans="1:25" ht="14.25" x14ac:dyDescent="0.2">
      <c r="A850" s="12"/>
      <c r="B850" s="35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 spans="1:25" ht="14.25" x14ac:dyDescent="0.2">
      <c r="A851" s="12"/>
      <c r="B851" s="35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 spans="1:25" ht="14.25" x14ac:dyDescent="0.2">
      <c r="A852" s="12"/>
      <c r="B852" s="35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 spans="1:25" ht="14.25" x14ac:dyDescent="0.2">
      <c r="A853" s="12"/>
      <c r="B853" s="35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 spans="1:25" ht="14.25" x14ac:dyDescent="0.2">
      <c r="A854" s="12"/>
      <c r="B854" s="35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 spans="1:25" ht="14.25" x14ac:dyDescent="0.2">
      <c r="A855" s="12"/>
      <c r="B855" s="35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 spans="1:25" ht="14.25" x14ac:dyDescent="0.2">
      <c r="A856" s="12"/>
      <c r="B856" s="35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 spans="1:25" ht="14.25" x14ac:dyDescent="0.2">
      <c r="A857" s="12"/>
      <c r="B857" s="35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 spans="1:25" ht="14.25" x14ac:dyDescent="0.2">
      <c r="A858" s="12"/>
      <c r="B858" s="35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 spans="1:25" ht="14.25" x14ac:dyDescent="0.2">
      <c r="A859" s="12"/>
      <c r="B859" s="35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 spans="1:25" ht="14.25" x14ac:dyDescent="0.2">
      <c r="A860" s="12"/>
      <c r="B860" s="35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 spans="1:25" ht="14.25" x14ac:dyDescent="0.2">
      <c r="A861" s="12"/>
      <c r="B861" s="35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 spans="1:25" ht="14.25" x14ac:dyDescent="0.2">
      <c r="A862" s="12"/>
      <c r="B862" s="35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 spans="1:25" ht="14.25" x14ac:dyDescent="0.2">
      <c r="A863" s="12"/>
      <c r="B863" s="35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 spans="1:25" ht="14.25" x14ac:dyDescent="0.2">
      <c r="A864" s="12"/>
      <c r="B864" s="35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 spans="1:25" ht="14.25" x14ac:dyDescent="0.2">
      <c r="A865" s="12"/>
      <c r="B865" s="35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 spans="1:25" ht="14.25" x14ac:dyDescent="0.2">
      <c r="A866" s="12"/>
      <c r="B866" s="35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 spans="1:25" ht="14.25" x14ac:dyDescent="0.2">
      <c r="A867" s="12"/>
      <c r="B867" s="35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 spans="1:25" ht="14.25" x14ac:dyDescent="0.2">
      <c r="A868" s="12"/>
      <c r="B868" s="35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 spans="1:25" ht="14.25" x14ac:dyDescent="0.2">
      <c r="A869" s="12"/>
      <c r="B869" s="35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 spans="1:25" ht="14.25" x14ac:dyDescent="0.2">
      <c r="A870" s="12"/>
      <c r="B870" s="35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 spans="1:25" ht="14.25" x14ac:dyDescent="0.2">
      <c r="A871" s="12"/>
      <c r="B871" s="35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 spans="1:25" ht="14.25" x14ac:dyDescent="0.2">
      <c r="A872" s="12"/>
      <c r="B872" s="35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 spans="1:25" ht="14.25" x14ac:dyDescent="0.2">
      <c r="A873" s="12"/>
      <c r="B873" s="35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 spans="1:25" ht="14.25" x14ac:dyDescent="0.2">
      <c r="A874" s="12"/>
      <c r="B874" s="35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 spans="1:25" ht="14.25" x14ac:dyDescent="0.2">
      <c r="A875" s="12"/>
      <c r="B875" s="35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 spans="1:25" ht="14.25" x14ac:dyDescent="0.2">
      <c r="A876" s="12"/>
      <c r="B876" s="35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 spans="1:25" ht="14.25" x14ac:dyDescent="0.2">
      <c r="A877" s="12"/>
      <c r="B877" s="35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 spans="1:25" ht="14.25" x14ac:dyDescent="0.2">
      <c r="A878" s="12"/>
      <c r="B878" s="35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 spans="1:25" ht="14.25" x14ac:dyDescent="0.2">
      <c r="A879" s="12"/>
      <c r="B879" s="35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 spans="1:25" ht="14.25" x14ac:dyDescent="0.2">
      <c r="A880" s="12"/>
      <c r="B880" s="35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 spans="1:25" ht="14.25" x14ac:dyDescent="0.2">
      <c r="A881" s="12"/>
      <c r="B881" s="35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 spans="1:25" ht="14.25" x14ac:dyDescent="0.2">
      <c r="A882" s="12"/>
      <c r="B882" s="35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 spans="1:25" ht="14.25" x14ac:dyDescent="0.2">
      <c r="A883" s="12"/>
      <c r="B883" s="35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 spans="1:25" ht="14.25" x14ac:dyDescent="0.2">
      <c r="A884" s="12"/>
      <c r="B884" s="35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 spans="1:25" ht="14.25" x14ac:dyDescent="0.2">
      <c r="A885" s="12"/>
      <c r="B885" s="35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 spans="1:25" ht="14.25" x14ac:dyDescent="0.2">
      <c r="A886" s="12"/>
      <c r="B886" s="35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 spans="1:25" ht="14.25" x14ac:dyDescent="0.2">
      <c r="A887" s="12"/>
      <c r="B887" s="35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 spans="1:25" ht="14.25" x14ac:dyDescent="0.2">
      <c r="A888" s="12"/>
      <c r="B888" s="35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 spans="1:25" ht="14.25" x14ac:dyDescent="0.2">
      <c r="A889" s="12"/>
      <c r="B889" s="35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 spans="1:25" ht="14.25" x14ac:dyDescent="0.2">
      <c r="A890" s="12"/>
      <c r="B890" s="35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 spans="1:25" ht="14.25" x14ac:dyDescent="0.2">
      <c r="A891" s="12"/>
      <c r="B891" s="35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 spans="1:25" ht="14.25" x14ac:dyDescent="0.2">
      <c r="A892" s="12"/>
      <c r="B892" s="35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 spans="1:25" ht="14.25" x14ac:dyDescent="0.2">
      <c r="A893" s="12"/>
      <c r="B893" s="35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 spans="1:25" ht="14.25" x14ac:dyDescent="0.2">
      <c r="A894" s="12"/>
      <c r="B894" s="35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 spans="1:25" ht="14.25" x14ac:dyDescent="0.2">
      <c r="A895" s="12"/>
      <c r="B895" s="35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 spans="1:25" ht="14.25" x14ac:dyDescent="0.2">
      <c r="A896" s="12"/>
      <c r="B896" s="35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 spans="1:25" ht="14.25" x14ac:dyDescent="0.2">
      <c r="A897" s="12"/>
      <c r="B897" s="35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 spans="1:25" ht="14.25" x14ac:dyDescent="0.2">
      <c r="A898" s="12"/>
      <c r="B898" s="35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 spans="1:25" ht="14.25" x14ac:dyDescent="0.2">
      <c r="A899" s="12"/>
      <c r="B899" s="35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 spans="1:25" ht="14.25" x14ac:dyDescent="0.2">
      <c r="A900" s="12"/>
      <c r="B900" s="35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 spans="1:25" ht="14.25" x14ac:dyDescent="0.2">
      <c r="A901" s="12"/>
      <c r="B901" s="35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 spans="1:25" ht="14.25" x14ac:dyDescent="0.2">
      <c r="A902" s="12"/>
      <c r="B902" s="35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 spans="1:25" ht="14.25" x14ac:dyDescent="0.2">
      <c r="A903" s="12"/>
      <c r="B903" s="35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 spans="1:25" ht="14.25" x14ac:dyDescent="0.2">
      <c r="A904" s="12"/>
      <c r="B904" s="35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 spans="1:25" ht="14.25" x14ac:dyDescent="0.2">
      <c r="A905" s="12"/>
      <c r="B905" s="35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 spans="1:25" ht="14.25" x14ac:dyDescent="0.2">
      <c r="A906" s="12"/>
      <c r="B906" s="35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 spans="1:25" ht="14.25" x14ac:dyDescent="0.2">
      <c r="A907" s="12"/>
      <c r="B907" s="35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 spans="1:25" ht="14.25" x14ac:dyDescent="0.2">
      <c r="A908" s="12"/>
      <c r="B908" s="35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 spans="1:25" ht="14.25" x14ac:dyDescent="0.2">
      <c r="A909" s="12"/>
      <c r="B909" s="35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 spans="1:25" ht="14.25" x14ac:dyDescent="0.2">
      <c r="A910" s="12"/>
      <c r="B910" s="35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 spans="1:25" ht="14.25" x14ac:dyDescent="0.2">
      <c r="A911" s="12"/>
      <c r="B911" s="35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 spans="1:25" ht="14.25" x14ac:dyDescent="0.2">
      <c r="A912" s="12"/>
      <c r="B912" s="35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 spans="1:25" ht="14.25" x14ac:dyDescent="0.2">
      <c r="A913" s="12"/>
      <c r="B913" s="35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 spans="1:25" ht="14.25" x14ac:dyDescent="0.2">
      <c r="A914" s="12"/>
      <c r="B914" s="35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 spans="1:25" ht="14.25" x14ac:dyDescent="0.2">
      <c r="A915" s="12"/>
      <c r="B915" s="35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 spans="1:25" ht="14.25" x14ac:dyDescent="0.2">
      <c r="A916" s="12"/>
      <c r="B916" s="35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 spans="1:25" ht="14.25" x14ac:dyDescent="0.2">
      <c r="A917" s="12"/>
      <c r="B917" s="35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 spans="1:25" ht="14.25" x14ac:dyDescent="0.2">
      <c r="A918" s="12"/>
      <c r="B918" s="35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 spans="1:25" ht="14.25" x14ac:dyDescent="0.2">
      <c r="A919" s="12"/>
      <c r="B919" s="35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 spans="1:25" ht="14.25" x14ac:dyDescent="0.2">
      <c r="A920" s="12"/>
      <c r="B920" s="35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 spans="1:25" ht="14.25" x14ac:dyDescent="0.2">
      <c r="A921" s="12"/>
      <c r="B921" s="35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 spans="1:25" ht="14.25" x14ac:dyDescent="0.2">
      <c r="A922" s="12"/>
      <c r="B922" s="35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 spans="1:25" ht="14.25" x14ac:dyDescent="0.2">
      <c r="A923" s="12"/>
      <c r="B923" s="35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 spans="1:25" ht="14.25" x14ac:dyDescent="0.2">
      <c r="A924" s="12"/>
      <c r="B924" s="35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 spans="1:25" ht="14.25" x14ac:dyDescent="0.2">
      <c r="A925" s="12"/>
      <c r="B925" s="35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 spans="1:25" ht="14.25" x14ac:dyDescent="0.2">
      <c r="A926" s="12"/>
      <c r="B926" s="35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 spans="1:25" ht="14.25" x14ac:dyDescent="0.2">
      <c r="A927" s="12"/>
      <c r="B927" s="35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 spans="1:25" ht="14.25" x14ac:dyDescent="0.2">
      <c r="A928" s="12"/>
      <c r="B928" s="35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 spans="1:25" ht="14.25" x14ac:dyDescent="0.2">
      <c r="A929" s="12"/>
      <c r="B929" s="35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 spans="1:25" ht="14.25" x14ac:dyDescent="0.2">
      <c r="A930" s="12"/>
      <c r="B930" s="35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 spans="1:25" ht="14.25" x14ac:dyDescent="0.2">
      <c r="A931" s="12"/>
      <c r="B931" s="35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 spans="1:25" ht="14.25" x14ac:dyDescent="0.2">
      <c r="A932" s="12"/>
      <c r="B932" s="35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 spans="1:25" ht="14.25" x14ac:dyDescent="0.2">
      <c r="A933" s="12"/>
      <c r="B933" s="35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 spans="1:25" ht="14.25" x14ac:dyDescent="0.2">
      <c r="A934" s="12"/>
      <c r="B934" s="35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 spans="1:25" ht="14.25" x14ac:dyDescent="0.2">
      <c r="A935" s="12"/>
      <c r="B935" s="35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 spans="1:25" ht="14.25" x14ac:dyDescent="0.2">
      <c r="A936" s="12"/>
      <c r="B936" s="35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 spans="1:25" ht="14.25" x14ac:dyDescent="0.2">
      <c r="A937" s="12"/>
      <c r="B937" s="35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 spans="1:25" ht="14.25" x14ac:dyDescent="0.2">
      <c r="A938" s="12"/>
      <c r="B938" s="35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 spans="1:25" ht="14.25" x14ac:dyDescent="0.2">
      <c r="A939" s="12"/>
      <c r="B939" s="35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 spans="1:25" ht="14.25" x14ac:dyDescent="0.2">
      <c r="A940" s="12"/>
      <c r="B940" s="35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 spans="1:25" ht="14.25" x14ac:dyDescent="0.2">
      <c r="A941" s="12"/>
      <c r="B941" s="35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 spans="1:25" ht="14.25" x14ac:dyDescent="0.2">
      <c r="A942" s="12"/>
      <c r="B942" s="35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 spans="1:25" ht="14.25" x14ac:dyDescent="0.2">
      <c r="A943" s="12"/>
      <c r="B943" s="35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 spans="1:25" ht="14.25" x14ac:dyDescent="0.2">
      <c r="A944" s="12"/>
      <c r="B944" s="35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 spans="1:25" ht="14.25" x14ac:dyDescent="0.2">
      <c r="A945" s="12"/>
      <c r="B945" s="35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 spans="1:25" ht="14.25" x14ac:dyDescent="0.2">
      <c r="A946" s="12"/>
      <c r="B946" s="35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 spans="1:25" ht="14.25" x14ac:dyDescent="0.2">
      <c r="A947" s="12"/>
      <c r="B947" s="35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 spans="1:25" ht="14.25" x14ac:dyDescent="0.2">
      <c r="A948" s="12"/>
      <c r="B948" s="35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 spans="1:25" ht="14.25" x14ac:dyDescent="0.2">
      <c r="A949" s="12"/>
      <c r="B949" s="35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</sheetData>
  <mergeCells count="10">
    <mergeCell ref="A6:C6"/>
    <mergeCell ref="D6:M6"/>
    <mergeCell ref="A7:C7"/>
    <mergeCell ref="D7:M7"/>
    <mergeCell ref="A1:B4"/>
    <mergeCell ref="C1:K4"/>
    <mergeCell ref="L1:M2"/>
    <mergeCell ref="L3:M4"/>
    <mergeCell ref="A5:C5"/>
    <mergeCell ref="D5:E5"/>
  </mergeCells>
  <pageMargins left="0.74791666666666701" right="0.74791666666666701" top="0.98402777777777795" bottom="0.9840277777777779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zoomScaleNormal="100" workbookViewId="0">
      <selection activeCell="D22" sqref="D22"/>
    </sheetView>
  </sheetViews>
  <sheetFormatPr defaultColWidth="8.7109375" defaultRowHeight="12.75" x14ac:dyDescent="0.2"/>
  <cols>
    <col min="1" max="1" width="13.140625" customWidth="1"/>
    <col min="2" max="2" width="9.5703125" customWidth="1"/>
    <col min="4" max="4" width="9.5703125" customWidth="1"/>
    <col min="6" max="6" width="9.5703125" customWidth="1"/>
  </cols>
  <sheetData>
    <row r="1" spans="1:6" ht="15" x14ac:dyDescent="0.2">
      <c r="A1" s="36" t="s">
        <v>38</v>
      </c>
      <c r="B1" s="37" t="s">
        <v>39</v>
      </c>
      <c r="D1" s="37" t="s">
        <v>40</v>
      </c>
      <c r="F1" s="38" t="s">
        <v>41</v>
      </c>
    </row>
    <row r="2" spans="1:6" ht="15" x14ac:dyDescent="0.2">
      <c r="A2" s="39" t="s">
        <v>42</v>
      </c>
      <c r="B2" s="40" t="s">
        <v>43</v>
      </c>
      <c r="C2" s="41"/>
      <c r="D2" s="42" t="s">
        <v>43</v>
      </c>
      <c r="E2" s="41"/>
      <c r="F2" s="43" t="s">
        <v>43</v>
      </c>
    </row>
    <row r="3" spans="1:6" ht="15" x14ac:dyDescent="0.2">
      <c r="A3" s="39" t="s">
        <v>44</v>
      </c>
      <c r="B3" s="44">
        <v>89.046000000000006</v>
      </c>
      <c r="C3" s="45"/>
      <c r="D3" s="46">
        <v>535.072</v>
      </c>
      <c r="E3" s="45"/>
      <c r="F3" s="47">
        <v>82.073999999999998</v>
      </c>
    </row>
    <row r="4" spans="1:6" ht="15" x14ac:dyDescent="0.2">
      <c r="A4" s="39" t="s">
        <v>45</v>
      </c>
      <c r="B4" s="44">
        <v>152.69399999999999</v>
      </c>
      <c r="C4" s="45"/>
      <c r="D4" s="46">
        <v>705.81700000000001</v>
      </c>
      <c r="E4" s="45"/>
      <c r="F4" s="47">
        <v>126.333</v>
      </c>
    </row>
    <row r="5" spans="1:6" ht="15" x14ac:dyDescent="0.2">
      <c r="A5" s="39" t="s">
        <v>46</v>
      </c>
      <c r="B5" s="44">
        <v>216.34200000000001</v>
      </c>
      <c r="C5" s="45"/>
      <c r="D5" s="46">
        <v>876.56200000000001</v>
      </c>
      <c r="E5" s="45"/>
      <c r="F5" s="47">
        <v>170.59200000000001</v>
      </c>
    </row>
    <row r="6" spans="1:6" ht="15" x14ac:dyDescent="0.2">
      <c r="A6" s="39" t="s">
        <v>47</v>
      </c>
      <c r="B6" s="48">
        <f>'1. Registro Técnico'!F11</f>
        <v>140.09999999999997</v>
      </c>
      <c r="C6" s="49"/>
      <c r="D6" s="50">
        <f>'1. Registro Técnico'!K11</f>
        <v>759.0000000000075</v>
      </c>
      <c r="E6" s="49"/>
      <c r="F6" s="51">
        <f>'1. Registro Técnico'!M11</f>
        <v>100.89999999999257</v>
      </c>
    </row>
    <row r="7" spans="1:6" ht="15" x14ac:dyDescent="0.2">
      <c r="A7" s="36" t="s">
        <v>48</v>
      </c>
      <c r="B7" s="52">
        <f>B6/B4</f>
        <v>0.91752131714409191</v>
      </c>
      <c r="C7" s="53"/>
      <c r="D7" s="52">
        <f>D6/D4</f>
        <v>1.0753495594467228</v>
      </c>
      <c r="E7" s="53"/>
      <c r="F7" s="52">
        <f>F6/F4</f>
        <v>0.79868284612882279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1. Registro Técnico</vt:lpstr>
      <vt:lpstr>Recuperação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Alessandra Petruz</dc:creator>
  <dc:description/>
  <cp:lastModifiedBy>Vitor Ribeiro</cp:lastModifiedBy>
  <cp:revision>105</cp:revision>
  <dcterms:created xsi:type="dcterms:W3CDTF">2024-04-25T17:29:30Z</dcterms:created>
  <dcterms:modified xsi:type="dcterms:W3CDTF">2026-04-13T11:41:55Z</dcterms:modified>
  <dc:language>pt-BR</dc:language>
</cp:coreProperties>
</file>