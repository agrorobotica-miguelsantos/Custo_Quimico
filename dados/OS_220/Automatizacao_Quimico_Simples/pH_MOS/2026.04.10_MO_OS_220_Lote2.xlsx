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Agroserver\quimico\02_RegistrosAnálises\8. Matéria Orgânica\2026_Análises_MO\"/>
    </mc:Choice>
  </mc:AlternateContent>
  <xr:revisionPtr revIDLastSave="0" documentId="13_ncr:1_{88D88472-4215-4F64-879D-57B9C2E1729B}" xr6:coauthVersionLast="47" xr6:coauthVersionMax="47" xr10:uidLastSave="{00000000-0000-0000-0000-000000000000}"/>
  <bookViews>
    <workbookView xWindow="28830" yWindow="3060" windowWidth="20460" windowHeight="10770" xr2:uid="{00000000-000D-0000-FFFF-FFFF00000000}"/>
  </bookViews>
  <sheets>
    <sheet name="Dados_-_Análise" sheetId="1" r:id="rId1"/>
    <sheet name="Verificaça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7" i="1"/>
  <c r="C28" i="1"/>
  <c r="C29" i="1"/>
  <c r="C30" i="1"/>
  <c r="C31" i="1"/>
  <c r="C32" i="1"/>
  <c r="C33" i="1"/>
  <c r="C34" i="1"/>
  <c r="C35" i="1"/>
  <c r="C126" i="1"/>
  <c r="G11" i="2" l="1"/>
  <c r="G12" i="2" s="1"/>
  <c r="H11" i="2"/>
  <c r="H12" i="2" s="1"/>
  <c r="D11" i="2"/>
  <c r="D12" i="2" s="1"/>
  <c r="E11" i="2"/>
  <c r="E12" i="2" s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F11" i="2"/>
  <c r="F12" i="2" s="1"/>
  <c r="F17" i="1"/>
  <c r="F16" i="1"/>
  <c r="F15" i="1"/>
  <c r="F14" i="1"/>
</calcChain>
</file>

<file path=xl/sharedStrings.xml><?xml version="1.0" encoding="utf-8"?>
<sst xmlns="http://schemas.openxmlformats.org/spreadsheetml/2006/main" count="151" uniqueCount="141">
  <si>
    <t xml:space="preserve">
REGISTRO TÉCNICO – DETERMINAÇÃO DE MATÉRIA ORGÂNICA</t>
  </si>
  <si>
    <t>CÓDIGO: FOR 7.5 - 0802</t>
  </si>
  <si>
    <t>REVISÃO
02</t>
  </si>
  <si>
    <t>Data:</t>
  </si>
  <si>
    <t>Horário inicial:</t>
  </si>
  <si>
    <t>Assinatura do Responsável:</t>
  </si>
  <si>
    <t>Temperatura (°C):</t>
  </si>
  <si>
    <t>Horário final:</t>
  </si>
  <si>
    <t>Data Curva de calibração:</t>
  </si>
  <si>
    <t>Umidade (%):</t>
  </si>
  <si>
    <t>Análise realizada por:</t>
  </si>
  <si>
    <t>Rafael</t>
  </si>
  <si>
    <t>Curva de Calibração</t>
  </si>
  <si>
    <t>Amostra</t>
  </si>
  <si>
    <t>Absorção</t>
  </si>
  <si>
    <t>Concentração (g/dm3)</t>
  </si>
  <si>
    <t>Coeficientes</t>
  </si>
  <si>
    <t>Valores</t>
  </si>
  <si>
    <t>a</t>
  </si>
  <si>
    <t>b</t>
  </si>
  <si>
    <t>R²</t>
  </si>
  <si>
    <t>Análise amostras</t>
  </si>
  <si>
    <t>ID amostra</t>
  </si>
  <si>
    <t>Concentração (g/dm³)</t>
  </si>
  <si>
    <t>Varzea</t>
  </si>
  <si>
    <t>Sand</t>
  </si>
  <si>
    <t>Clay</t>
  </si>
  <si>
    <t>PL 350</t>
  </si>
  <si>
    <t>PL 651</t>
  </si>
  <si>
    <t>IAC 677</t>
  </si>
  <si>
    <t>IAC 678</t>
  </si>
  <si>
    <t>IAC 680</t>
  </si>
  <si>
    <t>IAC 679</t>
  </si>
  <si>
    <t>Regressão Linear (curva titulação)</t>
  </si>
  <si>
    <t>PL</t>
  </si>
  <si>
    <t>Mínimo</t>
  </si>
  <si>
    <t>Média</t>
  </si>
  <si>
    <t>Máximo</t>
  </si>
  <si>
    <t>1ª leitura</t>
  </si>
  <si>
    <t>Referência</t>
  </si>
  <si>
    <t>PAQLF</t>
  </si>
  <si>
    <t>Experimental</t>
  </si>
  <si>
    <t xml:space="preserve">Recuperação </t>
  </si>
  <si>
    <t xml:space="preserve">Parâmetro: MO </t>
  </si>
  <si>
    <t>IAC</t>
  </si>
  <si>
    <t>Interno</t>
  </si>
  <si>
    <t>c0001|220|02|A6</t>
  </si>
  <si>
    <t>c0003|220|02|A6</t>
  </si>
  <si>
    <t>c0005|220|02|A6</t>
  </si>
  <si>
    <t>c0019|220|02|A6</t>
  </si>
  <si>
    <t>c0021|220|02|A6</t>
  </si>
  <si>
    <t>c0038|220|02|A6</t>
  </si>
  <si>
    <t>c0040|220|02|A6</t>
  </si>
  <si>
    <t>c0042|220|02|A6</t>
  </si>
  <si>
    <t>c0001|220|02|A7</t>
  </si>
  <si>
    <t>c0003|220|02|A7</t>
  </si>
  <si>
    <t>c0005|220|02|A7</t>
  </si>
  <si>
    <t>c0025|220|02|A7</t>
  </si>
  <si>
    <t>c0027|220|02|A7</t>
  </si>
  <si>
    <t>c0035|220|02|A7</t>
  </si>
  <si>
    <t>c0043|220|02|A7</t>
  </si>
  <si>
    <t>c0045|220|02|A7</t>
  </si>
  <si>
    <t>c0001|220|02|A8</t>
  </si>
  <si>
    <t>c0003|220|02|A8</t>
  </si>
  <si>
    <t>c0005|220|02|A8</t>
  </si>
  <si>
    <t>c0014|220|02|A8</t>
  </si>
  <si>
    <t>c0019|220|02|A8</t>
  </si>
  <si>
    <t>c0021|220|02|A8</t>
  </si>
  <si>
    <t>c0022|220|02|A8</t>
  </si>
  <si>
    <t>c0024|220|02|A8</t>
  </si>
  <si>
    <t>c0001|220|03|A1</t>
  </si>
  <si>
    <t>c0003|220|03|A1</t>
  </si>
  <si>
    <t>c0005|220|03|A1</t>
  </si>
  <si>
    <t>c0022|220|03|A1</t>
  </si>
  <si>
    <t>c0024|220|03|A1</t>
  </si>
  <si>
    <t>c0026|220|03|A1</t>
  </si>
  <si>
    <t>c0028|220|03|A1</t>
  </si>
  <si>
    <t>c0030|220|03|A1</t>
  </si>
  <si>
    <t>c0001|220|03|A2</t>
  </si>
  <si>
    <t>c0003|220|03|A2</t>
  </si>
  <si>
    <t>c0005|220|03|A2</t>
  </si>
  <si>
    <t>c0019|220|03|A2</t>
  </si>
  <si>
    <t>c0021|220|03|A2</t>
  </si>
  <si>
    <t>c0038|220|03|A2</t>
  </si>
  <si>
    <t>c0040|220|03|A2</t>
  </si>
  <si>
    <t>c0042|220|03|A2</t>
  </si>
  <si>
    <t>c0001|220|03|A3</t>
  </si>
  <si>
    <t>c0003|220|03|A3</t>
  </si>
  <si>
    <t>c0004|220|03|A3</t>
  </si>
  <si>
    <t>c0006|220|03|A3</t>
  </si>
  <si>
    <t>c0007|220|03|A3</t>
  </si>
  <si>
    <t>c0009|220|03|A3</t>
  </si>
  <si>
    <t>c0001|220|03|A4</t>
  </si>
  <si>
    <t>c0003|220|03|A4</t>
  </si>
  <si>
    <t>c0005|220|03|A4</t>
  </si>
  <si>
    <t>c0016|220|03|A4</t>
  </si>
  <si>
    <t>c0018|220|03|A4</t>
  </si>
  <si>
    <t>c0044|220|03|A4</t>
  </si>
  <si>
    <t>c0046|220|03|A4</t>
  </si>
  <si>
    <t>c0048|220|03|A4</t>
  </si>
  <si>
    <t>c0001|220|03|A5</t>
  </si>
  <si>
    <t>c0003|220|03|A5</t>
  </si>
  <si>
    <t>c0004|220|03|A5</t>
  </si>
  <si>
    <t>c0006|220|03|A5</t>
  </si>
  <si>
    <t>c0007|220|03|A5</t>
  </si>
  <si>
    <t>c0009|220|03|A5</t>
  </si>
  <si>
    <t>c0001|220|04|A1</t>
  </si>
  <si>
    <t>c0003|220|04|A1</t>
  </si>
  <si>
    <t>c0004|220|04|A1</t>
  </si>
  <si>
    <t>c0006|220|04|A1</t>
  </si>
  <si>
    <t>c0008|220|04|A1</t>
  </si>
  <si>
    <t>c0014|220|04|A1</t>
  </si>
  <si>
    <t>c0019|220|04|A1</t>
  </si>
  <si>
    <t>c0021|220|04|A1</t>
  </si>
  <si>
    <t>c0001|220|04|A2</t>
  </si>
  <si>
    <t>c0003|220|04|A2</t>
  </si>
  <si>
    <t>c0005|220|04|A2</t>
  </si>
  <si>
    <t>c0016|220|04|A2</t>
  </si>
  <si>
    <t>c0018|220|04|A2</t>
  </si>
  <si>
    <t>c0035|220|04|A2</t>
  </si>
  <si>
    <t>c0046|220|04|A2</t>
  </si>
  <si>
    <t>c0048|220|04|A2</t>
  </si>
  <si>
    <t>c0001|220|04|A3</t>
  </si>
  <si>
    <t>c0003|220|04|A3</t>
  </si>
  <si>
    <t>c0005|220|04|A3</t>
  </si>
  <si>
    <t>c0025|220|04|A3</t>
  </si>
  <si>
    <t>c0027|220|04|A3</t>
  </si>
  <si>
    <t>c0038|220|04|A3</t>
  </si>
  <si>
    <t>c0040|220|04|A3</t>
  </si>
  <si>
    <t>c0042|220|04|A3</t>
  </si>
  <si>
    <t>c0001|220|04|A4</t>
  </si>
  <si>
    <t>c0003|220|04|A4</t>
  </si>
  <si>
    <t>c0005|220|04|A4</t>
  </si>
  <si>
    <t>c0010|220|04|A4</t>
  </si>
  <si>
    <t>c0012|220|04|A4</t>
  </si>
  <si>
    <t>c0026|220|04|A4</t>
  </si>
  <si>
    <t>c0028|220|04|A4</t>
  </si>
  <si>
    <t>c0030|220|04|A4</t>
  </si>
  <si>
    <t>Branco 09/04/2026</t>
  </si>
  <si>
    <t>R</t>
  </si>
  <si>
    <t>VLR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</si>
</sst>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&quot;:&quot;mm&quot;:&quot;ss"/>
    <numFmt numFmtId="165" formatCode="0.000"/>
    <numFmt numFmtId="166" formatCode="0.0"/>
    <numFmt numFmtId="167" formatCode="0.0000"/>
  </numFmts>
  <fonts count="32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sz val="11"/>
      <color rgb="FF000000"/>
      <name val="Liberation Sans1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b/>
      <sz val="15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Arial11"/>
    </font>
    <font>
      <sz val="12"/>
      <color theme="1"/>
      <name val="Liberation Sans"/>
      <family val="2"/>
    </font>
    <font>
      <b/>
      <sz val="12"/>
      <color theme="1"/>
      <name val="Arial1"/>
    </font>
    <font>
      <sz val="12"/>
      <color theme="1"/>
      <name val="Arial1"/>
    </font>
    <font>
      <sz val="10"/>
      <color theme="1"/>
      <name val="Liberation Sans11"/>
    </font>
    <font>
      <sz val="10"/>
      <color theme="1"/>
      <name val="Arial1"/>
    </font>
    <font>
      <b/>
      <sz val="10"/>
      <color theme="1"/>
      <name val="Arial11"/>
    </font>
    <font>
      <b/>
      <sz val="12"/>
      <color theme="1"/>
      <name val="Arial"/>
      <family val="2"/>
    </font>
    <font>
      <sz val="12"/>
      <color rgb="FF333333"/>
      <name val="Arial1"/>
    </font>
    <font>
      <sz val="12"/>
      <color theme="1"/>
      <name val="Liberation Sans11"/>
    </font>
    <font>
      <sz val="12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00B0F0"/>
        <bgColor rgb="FF00B0F0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77BC65"/>
        <bgColor rgb="FF77BC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4F6FA"/>
        <bgColor rgb="FFF4F6FA"/>
      </patternFill>
    </fill>
    <fill>
      <patternFill patternType="solid">
        <fgColor rgb="FFE8EEF7"/>
        <bgColor rgb="FFE8EEF7"/>
      </patternFill>
    </fill>
    <fill>
      <patternFill patternType="solid">
        <fgColor rgb="FFF9FAFC"/>
        <bgColor rgb="FFF9FAFC"/>
      </patternFill>
    </fill>
    <fill>
      <patternFill patternType="solid">
        <fgColor rgb="FFA9D08E"/>
        <bgColor rgb="FFA9D08E"/>
      </patternFill>
    </fill>
  </fills>
  <borders count="5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1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6" borderId="0"/>
    <xf numFmtId="0" fontId="5" fillId="0" borderId="0"/>
    <xf numFmtId="0" fontId="3" fillId="7" borderId="0"/>
    <xf numFmtId="0" fontId="6" fillId="0" borderId="0"/>
    <xf numFmtId="0" fontId="7" fillId="8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9" borderId="0"/>
    <xf numFmtId="0" fontId="13" fillId="9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123">
    <xf numFmtId="0" fontId="0" fillId="0" borderId="0" xfId="0"/>
    <xf numFmtId="0" fontId="17" fillId="10" borderId="6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/>
    </xf>
    <xf numFmtId="0" fontId="18" fillId="10" borderId="10" xfId="0" applyFont="1" applyFill="1" applyBorder="1" applyAlignment="1" applyProtection="1">
      <alignment horizontal="center" vertical="center"/>
      <protection locked="0"/>
    </xf>
    <xf numFmtId="0" fontId="17" fillId="10" borderId="10" xfId="0" applyFont="1" applyFill="1" applyBorder="1" applyAlignment="1">
      <alignment horizontal="center" vertical="center"/>
    </xf>
    <xf numFmtId="0" fontId="17" fillId="10" borderId="10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/>
    </xf>
    <xf numFmtId="9" fontId="18" fillId="10" borderId="12" xfId="0" applyNumberFormat="1" applyFont="1" applyFill="1" applyBorder="1" applyAlignment="1" applyProtection="1">
      <alignment horizontal="center" vertical="center"/>
      <protection locked="0"/>
    </xf>
    <xf numFmtId="0" fontId="17" fillId="10" borderId="12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 applyProtection="1">
      <alignment horizontal="center" vertical="center"/>
      <protection locked="0"/>
    </xf>
    <xf numFmtId="0" fontId="20" fillId="10" borderId="13" xfId="0" applyFont="1" applyFill="1" applyBorder="1" applyAlignment="1" applyProtection="1">
      <alignment horizontal="center"/>
      <protection locked="0"/>
    </xf>
    <xf numFmtId="2" fontId="19" fillId="10" borderId="14" xfId="0" applyNumberFormat="1" applyFont="1" applyFill="1" applyBorder="1" applyAlignment="1" applyProtection="1">
      <alignment horizontal="center" vertical="center"/>
      <protection locked="0"/>
    </xf>
    <xf numFmtId="0" fontId="19" fillId="10" borderId="14" xfId="0" applyFont="1" applyFill="1" applyBorder="1" applyAlignment="1" applyProtection="1">
      <alignment horizontal="center" vertical="center"/>
      <protection locked="0"/>
    </xf>
    <xf numFmtId="0" fontId="0" fillId="10" borderId="16" xfId="0" applyFill="1" applyBorder="1" applyAlignment="1" applyProtection="1">
      <alignment horizontal="center"/>
      <protection locked="0"/>
    </xf>
    <xf numFmtId="0" fontId="0" fillId="10" borderId="0" xfId="0" applyFill="1" applyAlignment="1" applyProtection="1">
      <alignment horizontal="center"/>
      <protection locked="0"/>
    </xf>
    <xf numFmtId="0" fontId="21" fillId="11" borderId="8" xfId="0" applyFont="1" applyFill="1" applyBorder="1" applyAlignment="1">
      <alignment horizontal="center" vertical="center"/>
    </xf>
    <xf numFmtId="0" fontId="21" fillId="11" borderId="18" xfId="0" applyFont="1" applyFill="1" applyBorder="1" applyAlignment="1">
      <alignment horizontal="center" vertical="center"/>
    </xf>
    <xf numFmtId="165" fontId="21" fillId="11" borderId="8" xfId="0" applyNumberFormat="1" applyFont="1" applyFill="1" applyBorder="1" applyAlignment="1">
      <alignment horizontal="center" vertical="center" wrapText="1"/>
    </xf>
    <xf numFmtId="0" fontId="25" fillId="0" borderId="0" xfId="0" applyFont="1"/>
    <xf numFmtId="165" fontId="25" fillId="0" borderId="0" xfId="0" applyNumberFormat="1" applyFont="1"/>
    <xf numFmtId="165" fontId="0" fillId="0" borderId="0" xfId="0" applyNumberFormat="1"/>
    <xf numFmtId="0" fontId="28" fillId="0" borderId="10" xfId="0" applyFont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2" fontId="24" fillId="0" borderId="0" xfId="0" applyNumberFormat="1" applyFont="1" applyAlignment="1" applyProtection="1">
      <alignment horizontal="center" vertical="center"/>
      <protection locked="0"/>
    </xf>
    <xf numFmtId="0" fontId="28" fillId="0" borderId="3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18" fillId="10" borderId="7" xfId="0" applyNumberFormat="1" applyFont="1" applyFill="1" applyBorder="1" applyAlignment="1" applyProtection="1">
      <alignment horizontal="center" vertical="center"/>
      <protection locked="0"/>
    </xf>
    <xf numFmtId="164" fontId="18" fillId="10" borderId="7" xfId="0" applyNumberFormat="1" applyFont="1" applyFill="1" applyBorder="1" applyAlignment="1" applyProtection="1">
      <alignment horizontal="center" vertical="center"/>
      <protection locked="0"/>
    </xf>
    <xf numFmtId="165" fontId="21" fillId="11" borderId="22" xfId="0" applyNumberFormat="1" applyFont="1" applyFill="1" applyBorder="1" applyAlignment="1">
      <alignment horizontal="center" vertical="center" wrapText="1"/>
    </xf>
    <xf numFmtId="0" fontId="18" fillId="10" borderId="19" xfId="0" applyFont="1" applyFill="1" applyBorder="1" applyAlignment="1" applyProtection="1">
      <alignment horizontal="center" vertical="center"/>
      <protection locked="0"/>
    </xf>
    <xf numFmtId="0" fontId="21" fillId="11" borderId="25" xfId="0" applyFont="1" applyFill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23" fillId="12" borderId="6" xfId="0" applyFont="1" applyFill="1" applyBorder="1" applyAlignment="1" applyProtection="1">
      <alignment horizontal="center" vertical="center"/>
      <protection locked="0"/>
    </xf>
    <xf numFmtId="165" fontId="24" fillId="12" borderId="19" xfId="0" applyNumberFormat="1" applyFont="1" applyFill="1" applyBorder="1" applyAlignment="1" applyProtection="1">
      <alignment horizontal="center" vertical="center"/>
      <protection locked="0"/>
    </xf>
    <xf numFmtId="2" fontId="24" fillId="12" borderId="19" xfId="0" applyNumberFormat="1" applyFont="1" applyFill="1" applyBorder="1" applyAlignment="1">
      <alignment horizontal="center" vertical="center"/>
    </xf>
    <xf numFmtId="0" fontId="22" fillId="12" borderId="41" xfId="0" applyFont="1" applyFill="1" applyBorder="1" applyAlignment="1" applyProtection="1">
      <alignment horizontal="center" vertical="center"/>
      <protection locked="0"/>
    </xf>
    <xf numFmtId="11" fontId="24" fillId="12" borderId="19" xfId="0" applyNumberFormat="1" applyFont="1" applyFill="1" applyBorder="1" applyAlignment="1" applyProtection="1">
      <alignment horizontal="center" vertical="center"/>
      <protection locked="0"/>
    </xf>
    <xf numFmtId="0" fontId="23" fillId="12" borderId="9" xfId="0" applyFont="1" applyFill="1" applyBorder="1" applyAlignment="1" applyProtection="1">
      <alignment horizontal="center" vertical="center"/>
      <protection locked="0"/>
    </xf>
    <xf numFmtId="165" fontId="24" fillId="12" borderId="20" xfId="0" applyNumberFormat="1" applyFont="1" applyFill="1" applyBorder="1" applyAlignment="1" applyProtection="1">
      <alignment horizontal="center" vertical="center"/>
      <protection locked="0"/>
    </xf>
    <xf numFmtId="2" fontId="24" fillId="12" borderId="19" xfId="0" applyNumberFormat="1" applyFont="1" applyFill="1" applyBorder="1" applyAlignment="1" applyProtection="1">
      <alignment horizontal="center" vertical="center"/>
      <protection locked="0"/>
    </xf>
    <xf numFmtId="11" fontId="24" fillId="12" borderId="20" xfId="0" applyNumberFormat="1" applyFont="1" applyFill="1" applyBorder="1" applyAlignment="1" applyProtection="1">
      <alignment horizontal="center" vertical="center"/>
      <protection locked="0"/>
    </xf>
    <xf numFmtId="2" fontId="24" fillId="12" borderId="20" xfId="0" applyNumberFormat="1" applyFont="1" applyFill="1" applyBorder="1" applyAlignment="1" applyProtection="1">
      <alignment horizontal="center" vertical="center"/>
      <protection locked="0"/>
    </xf>
    <xf numFmtId="166" fontId="22" fillId="12" borderId="41" xfId="0" applyNumberFormat="1" applyFont="1" applyFill="1" applyBorder="1" applyAlignment="1" applyProtection="1">
      <alignment horizontal="center" vertical="center"/>
      <protection locked="0"/>
    </xf>
    <xf numFmtId="167" fontId="24" fillId="12" borderId="20" xfId="0" applyNumberFormat="1" applyFont="1" applyFill="1" applyBorder="1" applyAlignment="1" applyProtection="1">
      <alignment horizontal="center" vertical="center"/>
      <protection locked="0"/>
    </xf>
    <xf numFmtId="0" fontId="23" fillId="12" borderId="21" xfId="0" applyFont="1" applyFill="1" applyBorder="1" applyAlignment="1" applyProtection="1">
      <alignment horizontal="center" vertical="center"/>
      <protection locked="0"/>
    </xf>
    <xf numFmtId="167" fontId="24" fillId="12" borderId="51" xfId="0" applyNumberFormat="1" applyFont="1" applyFill="1" applyBorder="1" applyAlignment="1" applyProtection="1">
      <alignment horizontal="center" vertical="center"/>
      <protection locked="0"/>
    </xf>
    <xf numFmtId="0" fontId="22" fillId="12" borderId="0" xfId="0" applyFont="1" applyFill="1" applyAlignment="1" applyProtection="1">
      <alignment horizontal="center" vertical="center"/>
      <protection locked="0"/>
    </xf>
    <xf numFmtId="0" fontId="22" fillId="12" borderId="42" xfId="0" applyFont="1" applyFill="1" applyBorder="1" applyAlignment="1" applyProtection="1">
      <alignment horizontal="center" vertical="center"/>
      <protection locked="0"/>
    </xf>
    <xf numFmtId="0" fontId="26" fillId="13" borderId="16" xfId="0" applyFont="1" applyFill="1" applyBorder="1" applyAlignment="1" applyProtection="1">
      <alignment horizontal="center" vertical="center"/>
      <protection locked="0"/>
    </xf>
    <xf numFmtId="165" fontId="26" fillId="13" borderId="0" xfId="0" applyNumberFormat="1" applyFont="1" applyFill="1" applyAlignment="1" applyProtection="1">
      <alignment horizontal="center" vertical="center"/>
      <protection locked="0"/>
    </xf>
    <xf numFmtId="0" fontId="0" fillId="12" borderId="43" xfId="0" applyFill="1" applyBorder="1" applyAlignment="1" applyProtection="1">
      <alignment horizontal="center" vertical="center"/>
      <protection locked="0"/>
    </xf>
    <xf numFmtId="0" fontId="0" fillId="12" borderId="44" xfId="0" applyFill="1" applyBorder="1" applyAlignment="1" applyProtection="1">
      <alignment horizontal="center" vertical="center"/>
      <protection locked="0"/>
    </xf>
    <xf numFmtId="166" fontId="27" fillId="12" borderId="45" xfId="0" applyNumberFormat="1" applyFont="1" applyFill="1" applyBorder="1" applyAlignment="1" applyProtection="1">
      <alignment horizontal="center" vertical="center"/>
      <protection locked="0"/>
    </xf>
    <xf numFmtId="0" fontId="22" fillId="12" borderId="39" xfId="0" applyFont="1" applyFill="1" applyBorder="1" applyAlignment="1" applyProtection="1">
      <alignment horizontal="center" vertical="center"/>
      <protection locked="0"/>
    </xf>
    <xf numFmtId="165" fontId="24" fillId="0" borderId="7" xfId="0" applyNumberFormat="1" applyFont="1" applyBorder="1" applyAlignment="1" applyProtection="1">
      <alignment horizontal="center" vertical="center"/>
      <protection locked="0"/>
    </xf>
    <xf numFmtId="2" fontId="24" fillId="0" borderId="23" xfId="0" applyNumberFormat="1" applyFont="1" applyBorder="1" applyAlignment="1" applyProtection="1">
      <alignment horizontal="center" vertical="center"/>
      <protection locked="0"/>
    </xf>
    <xf numFmtId="165" fontId="24" fillId="0" borderId="32" xfId="0" applyNumberFormat="1" applyFont="1" applyBorder="1" applyAlignment="1" applyProtection="1">
      <alignment horizontal="center" vertical="center"/>
      <protection locked="0"/>
    </xf>
    <xf numFmtId="165" fontId="24" fillId="0" borderId="32" xfId="0" applyNumberFormat="1" applyFont="1" applyBorder="1" applyAlignment="1">
      <alignment horizontal="center" vertical="center"/>
    </xf>
    <xf numFmtId="0" fontId="30" fillId="0" borderId="32" xfId="0" applyFont="1" applyBorder="1" applyAlignment="1">
      <alignment horizontal="center"/>
    </xf>
    <xf numFmtId="0" fontId="31" fillId="0" borderId="32" xfId="0" applyFont="1" applyBorder="1" applyAlignment="1">
      <alignment horizontal="center"/>
    </xf>
    <xf numFmtId="0" fontId="31" fillId="0" borderId="53" xfId="0" applyFont="1" applyBorder="1" applyAlignment="1">
      <alignment horizontal="center"/>
    </xf>
    <xf numFmtId="2" fontId="24" fillId="0" borderId="24" xfId="0" applyNumberFormat="1" applyFont="1" applyBorder="1" applyAlignment="1" applyProtection="1">
      <alignment horizontal="center" vertical="center"/>
      <protection locked="0"/>
    </xf>
    <xf numFmtId="2" fontId="24" fillId="0" borderId="32" xfId="0" applyNumberFormat="1" applyFont="1" applyBorder="1" applyAlignment="1" applyProtection="1">
      <alignment horizontal="center" vertical="center"/>
      <protection locked="0"/>
    </xf>
    <xf numFmtId="14" fontId="18" fillId="10" borderId="20" xfId="0" applyNumberFormat="1" applyFont="1" applyFill="1" applyBorder="1" applyAlignment="1" applyProtection="1">
      <alignment horizontal="center" vertical="center"/>
      <protection locked="0"/>
    </xf>
    <xf numFmtId="0" fontId="0" fillId="0" borderId="54" xfId="0" applyBorder="1"/>
    <xf numFmtId="0" fontId="2" fillId="15" borderId="54" xfId="0" applyFont="1" applyFill="1" applyBorder="1" applyAlignment="1">
      <alignment horizontal="center" vertical="center" wrapText="1"/>
    </xf>
    <xf numFmtId="0" fontId="0" fillId="16" borderId="54" xfId="0" applyFill="1" applyBorder="1" applyAlignment="1">
      <alignment horizontal="left" vertical="center" wrapText="1"/>
    </xf>
    <xf numFmtId="0" fontId="0" fillId="0" borderId="54" xfId="0" applyBorder="1" applyAlignment="1">
      <alignment horizontal="center" vertical="center" wrapText="1"/>
    </xf>
    <xf numFmtId="2" fontId="0" fillId="17" borderId="54" xfId="0" applyNumberFormat="1" applyFill="1" applyBorder="1" applyAlignment="1">
      <alignment horizontal="center" vertical="center" wrapText="1"/>
    </xf>
    <xf numFmtId="2" fontId="0" fillId="0" borderId="54" xfId="0" applyNumberFormat="1" applyBorder="1" applyAlignment="1">
      <alignment horizontal="center" vertical="center" wrapText="1"/>
    </xf>
    <xf numFmtId="165" fontId="24" fillId="0" borderId="0" xfId="0" applyNumberFormat="1" applyFont="1" applyAlignment="1" applyProtection="1">
      <alignment horizontal="center" vertical="center"/>
      <protection locked="0"/>
    </xf>
    <xf numFmtId="0" fontId="0" fillId="0" borderId="0" xfId="0"/>
    <xf numFmtId="0" fontId="21" fillId="11" borderId="40" xfId="0" applyFont="1" applyFill="1" applyBorder="1" applyAlignment="1">
      <alignment horizontal="center" vertical="center"/>
    </xf>
    <xf numFmtId="0" fontId="0" fillId="0" borderId="50" xfId="0" applyBorder="1"/>
    <xf numFmtId="0" fontId="15" fillId="10" borderId="3" xfId="0" applyFont="1" applyFill="1" applyBorder="1" applyAlignment="1">
      <alignment horizontal="center" vertical="top" wrapText="1"/>
    </xf>
    <xf numFmtId="0" fontId="0" fillId="0" borderId="14" xfId="0" applyBorder="1"/>
    <xf numFmtId="0" fontId="0" fillId="0" borderId="26" xfId="0" applyBorder="1"/>
    <xf numFmtId="0" fontId="0" fillId="0" borderId="28" xfId="0" applyBorder="1"/>
    <xf numFmtId="0" fontId="0" fillId="0" borderId="24" xfId="0" applyBorder="1"/>
    <xf numFmtId="0" fontId="0" fillId="0" borderId="29" xfId="0" applyBorder="1"/>
    <xf numFmtId="0" fontId="0" fillId="0" borderId="22" xfId="0" applyBorder="1"/>
    <xf numFmtId="0" fontId="23" fillId="11" borderId="46" xfId="0" applyFont="1" applyFill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23" fillId="11" borderId="33" xfId="0" applyFont="1" applyFill="1" applyBorder="1" applyAlignment="1">
      <alignment horizontal="center" vertical="center"/>
    </xf>
    <xf numFmtId="0" fontId="0" fillId="0" borderId="36" xfId="0" applyBorder="1"/>
    <xf numFmtId="0" fontId="16" fillId="12" borderId="5" xfId="0" applyFont="1" applyFill="1" applyBorder="1" applyAlignment="1">
      <alignment horizontal="center" vertical="center" wrapText="1"/>
    </xf>
    <xf numFmtId="0" fontId="0" fillId="12" borderId="31" xfId="0" applyFill="1" applyBorder="1"/>
    <xf numFmtId="0" fontId="0" fillId="12" borderId="28" xfId="0" applyFill="1" applyBorder="1"/>
    <xf numFmtId="0" fontId="0" fillId="12" borderId="17" xfId="0" applyFill="1" applyBorder="1"/>
    <xf numFmtId="0" fontId="23" fillId="11" borderId="35" xfId="0" applyFont="1" applyFill="1" applyBorder="1" applyAlignment="1">
      <alignment horizontal="center" vertical="center" wrapText="1"/>
    </xf>
    <xf numFmtId="0" fontId="0" fillId="0" borderId="38" xfId="0" applyBorder="1"/>
    <xf numFmtId="0" fontId="0" fillId="10" borderId="2" xfId="0" applyFill="1" applyBorder="1"/>
    <xf numFmtId="0" fontId="0" fillId="0" borderId="16" xfId="0" applyBorder="1"/>
    <xf numFmtId="0" fontId="0" fillId="0" borderId="18" xfId="0" applyBorder="1"/>
    <xf numFmtId="0" fontId="0" fillId="0" borderId="27" xfId="0" applyBorder="1"/>
    <xf numFmtId="0" fontId="16" fillId="12" borderId="4" xfId="0" applyFont="1" applyFill="1" applyBorder="1" applyAlignment="1">
      <alignment horizontal="center" vertical="center"/>
    </xf>
    <xf numFmtId="0" fontId="0" fillId="12" borderId="15" xfId="0" applyFill="1" applyBorder="1"/>
    <xf numFmtId="0" fontId="0" fillId="12" borderId="19" xfId="0" applyFill="1" applyBorder="1"/>
    <xf numFmtId="0" fontId="0" fillId="12" borderId="30" xfId="0" applyFill="1" applyBorder="1"/>
    <xf numFmtId="165" fontId="23" fillId="11" borderId="34" xfId="0" applyNumberFormat="1" applyFont="1" applyFill="1" applyBorder="1" applyAlignment="1">
      <alignment horizontal="center" vertical="center" wrapText="1"/>
    </xf>
    <xf numFmtId="0" fontId="0" fillId="0" borderId="37" xfId="0" applyBorder="1"/>
    <xf numFmtId="0" fontId="21" fillId="11" borderId="8" xfId="0" applyFont="1" applyFill="1" applyBorder="1" applyAlignment="1">
      <alignment horizontal="center" vertical="center"/>
    </xf>
    <xf numFmtId="0" fontId="0" fillId="0" borderId="25" xfId="0" applyBorder="1"/>
    <xf numFmtId="0" fontId="0" fillId="10" borderId="52" xfId="0" applyFill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10" borderId="5" xfId="0" applyFill="1" applyBorder="1"/>
    <xf numFmtId="0" fontId="0" fillId="0" borderId="49" xfId="0" applyBorder="1"/>
    <xf numFmtId="0" fontId="2" fillId="14" borderId="54" xfId="0" applyFont="1" applyFill="1" applyBorder="1" applyAlignment="1">
      <alignment horizontal="left" vertical="center" wrapText="1"/>
    </xf>
  </cellXfs>
  <cellStyles count="21">
    <cellStyle name="Accent" xfId="1" xr:uid="{00000000-0005-0000-0000-000001000000}"/>
    <cellStyle name="Accent 1" xfId="2" xr:uid="{00000000-0005-0000-0000-000002000000}"/>
    <cellStyle name="Accent 2" xfId="3" xr:uid="{00000000-0005-0000-0000-000003000000}"/>
    <cellStyle name="Accent 3" xfId="4" xr:uid="{00000000-0005-0000-0000-000004000000}"/>
    <cellStyle name="Bad" xfId="5" xr:uid="{00000000-0005-0000-0000-000005000000}"/>
    <cellStyle name="cf1" xfId="6" xr:uid="{00000000-0005-0000-0000-000006000000}"/>
    <cellStyle name="Default" xfId="7" xr:uid="{00000000-0005-0000-0000-000007000000}"/>
    <cellStyle name="Error" xfId="8" xr:uid="{00000000-0005-0000-0000-000008000000}"/>
    <cellStyle name="Footnote" xfId="9" xr:uid="{00000000-0005-0000-0000-000009000000}"/>
    <cellStyle name="Good" xfId="10" xr:uid="{00000000-0005-0000-0000-00000A000000}"/>
    <cellStyle name="Heading" xfId="11" xr:uid="{00000000-0005-0000-0000-00000B000000}"/>
    <cellStyle name="Heading 1" xfId="12" xr:uid="{00000000-0005-0000-0000-00000C000000}"/>
    <cellStyle name="Heading 2" xfId="13" xr:uid="{00000000-0005-0000-0000-00000D000000}"/>
    <cellStyle name="Hyperlink" xfId="14" xr:uid="{00000000-0005-0000-0000-00000E000000}"/>
    <cellStyle name="Neutral" xfId="15" xr:uid="{00000000-0005-0000-0000-00000F000000}"/>
    <cellStyle name="Normal" xfId="0" builtinId="0"/>
    <cellStyle name="Note" xfId="16" xr:uid="{00000000-0005-0000-0000-000010000000}"/>
    <cellStyle name="Result" xfId="17" xr:uid="{00000000-0005-0000-0000-000011000000}"/>
    <cellStyle name="Status" xfId="18" xr:uid="{00000000-0005-0000-0000-000012000000}"/>
    <cellStyle name="Text" xfId="19" xr:uid="{00000000-0005-0000-0000-000013000000}"/>
    <cellStyle name="Warning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diamond"/>
            <c:size val="6"/>
          </c:marker>
          <c:dPt>
            <c:idx val="3"/>
            <c:marker>
              <c:spPr>
                <a:ln w="6350" cap="flat"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033-4178-B413-0EC64E60D200}"/>
              </c:ext>
            </c:extLst>
          </c:dPt>
          <c:trendline>
            <c:trendlineType val="linear"/>
            <c:dispRSqr val="1"/>
            <c:dispEq val="1"/>
            <c:trendlineLbl>
              <c:layout>
                <c:manualLayout>
                  <c:x val="-0.35110556881747246"/>
                  <c:y val="1.9753086419753086E-2"/>
                </c:manualLayout>
              </c:layout>
              <c:numFmt formatCode="General" sourceLinked="0"/>
            </c:trendlineLbl>
          </c:trendline>
          <c:xVal>
            <c:numRef>
              <c:f>'Dados_-_Análise'!$C$14:$C$20</c:f>
              <c:numCache>
                <c:formatCode>0.00</c:formatCode>
                <c:ptCount val="7"/>
                <c:pt idx="0">
                  <c:v>8.5079999999999991</c:v>
                </c:pt>
                <c:pt idx="1">
                  <c:v>16.212</c:v>
                </c:pt>
                <c:pt idx="2">
                  <c:v>22.911000000000001</c:v>
                </c:pt>
                <c:pt idx="3">
                  <c:v>31.62</c:v>
                </c:pt>
                <c:pt idx="4">
                  <c:v>38.319000000000003</c:v>
                </c:pt>
                <c:pt idx="5">
                  <c:v>45.018000000000001</c:v>
                </c:pt>
                <c:pt idx="6">
                  <c:v>56.548999999999999</c:v>
                </c:pt>
              </c:numCache>
            </c:numRef>
          </c:xVal>
          <c:yVal>
            <c:numRef>
              <c:f>'Dados_-_Análise'!$B$14:$B$20</c:f>
              <c:numCache>
                <c:formatCode>0.000</c:formatCode>
                <c:ptCount val="7"/>
                <c:pt idx="0">
                  <c:v>3.2000000000000001E-2</c:v>
                </c:pt>
                <c:pt idx="1">
                  <c:v>7.3999999999999996E-2</c:v>
                </c:pt>
                <c:pt idx="2">
                  <c:v>0.108</c:v>
                </c:pt>
                <c:pt idx="3">
                  <c:v>0.14499999999999999</c:v>
                </c:pt>
                <c:pt idx="4">
                  <c:v>0.182</c:v>
                </c:pt>
                <c:pt idx="5">
                  <c:v>0.24299999999999999</c:v>
                </c:pt>
                <c:pt idx="6">
                  <c:v>0.29499999999999998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33-4178-B413-0EC64E60D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290063"/>
        <c:axId val="1828290543"/>
      </c:scatterChart>
      <c:valAx>
        <c:axId val="1828290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 lang="pt-BR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8290543"/>
        <c:crosses val="autoZero"/>
        <c:crossBetween val="midCat"/>
      </c:valAx>
      <c:valAx>
        <c:axId val="1828290543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/>
              <a:lstStyle/>
              <a:p>
                <a:endParaRPr lang="pt-BR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829006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5</xdr:row>
      <xdr:rowOff>266700</xdr:rowOff>
    </xdr:from>
    <xdr:to>
      <xdr:col>10</xdr:col>
      <xdr:colOff>1066800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5"/>
  <sheetViews>
    <sheetView tabSelected="1" topLeftCell="A11" workbookViewId="0">
      <selection activeCell="C11" sqref="C11"/>
    </sheetView>
  </sheetViews>
  <sheetFormatPr defaultRowHeight="12.75"/>
  <cols>
    <col min="1" max="1" width="23.140625" customWidth="1"/>
    <col min="2" max="2" width="16.28515625" customWidth="1"/>
    <col min="3" max="3" width="22.140625" customWidth="1"/>
    <col min="4" max="4" width="21.28515625" customWidth="1"/>
    <col min="5" max="5" width="18.140625" customWidth="1"/>
    <col min="6" max="6" width="22.5703125" customWidth="1"/>
    <col min="7" max="10" width="12.140625" customWidth="1"/>
    <col min="11" max="11" width="18" customWidth="1"/>
    <col min="12" max="12" width="17" customWidth="1"/>
    <col min="13" max="13" width="12.42578125" customWidth="1"/>
    <col min="14" max="15" width="9.140625" customWidth="1"/>
  </cols>
  <sheetData>
    <row r="1" spans="1:11" ht="13.5" customHeight="1" thickBot="1">
      <c r="A1" s="102"/>
      <c r="B1" s="86"/>
      <c r="C1" s="84" t="s">
        <v>0</v>
      </c>
      <c r="D1" s="85"/>
      <c r="E1" s="85"/>
      <c r="F1" s="85"/>
      <c r="G1" s="85"/>
      <c r="H1" s="85"/>
      <c r="I1" s="86"/>
      <c r="J1" s="106" t="s">
        <v>1</v>
      </c>
      <c r="K1" s="107"/>
    </row>
    <row r="2" spans="1:11" ht="13.5" customHeight="1" thickBot="1">
      <c r="A2" s="103"/>
      <c r="B2" s="88"/>
      <c r="C2" s="87"/>
      <c r="D2" s="81"/>
      <c r="E2" s="81"/>
      <c r="F2" s="81"/>
      <c r="G2" s="81"/>
      <c r="H2" s="81"/>
      <c r="I2" s="88"/>
      <c r="J2" s="108"/>
      <c r="K2" s="109"/>
    </row>
    <row r="3" spans="1:11" ht="13.5" customHeight="1" thickBot="1">
      <c r="A3" s="103"/>
      <c r="B3" s="88"/>
      <c r="C3" s="87"/>
      <c r="D3" s="81"/>
      <c r="E3" s="81"/>
      <c r="F3" s="81"/>
      <c r="G3" s="81"/>
      <c r="H3" s="81"/>
      <c r="I3" s="88"/>
      <c r="J3" s="96" t="s">
        <v>2</v>
      </c>
      <c r="K3" s="97"/>
    </row>
    <row r="4" spans="1:11" ht="13.5" customHeight="1">
      <c r="A4" s="103"/>
      <c r="B4" s="88"/>
      <c r="C4" s="87"/>
      <c r="D4" s="81"/>
      <c r="E4" s="81"/>
      <c r="F4" s="81"/>
      <c r="G4" s="81"/>
      <c r="H4" s="81"/>
      <c r="I4" s="88"/>
      <c r="J4" s="98"/>
      <c r="K4" s="99"/>
    </row>
    <row r="5" spans="1:11" ht="13.5" customHeight="1" thickBot="1">
      <c r="A5" s="104"/>
      <c r="B5" s="105"/>
      <c r="C5" s="89"/>
      <c r="D5" s="90"/>
      <c r="E5" s="90"/>
      <c r="F5" s="90"/>
      <c r="G5" s="81"/>
      <c r="H5" s="81"/>
      <c r="I5" s="88"/>
      <c r="J5" s="98"/>
      <c r="K5" s="99"/>
    </row>
    <row r="6" spans="1:11" ht="32.25" customHeight="1" thickBot="1">
      <c r="A6" s="1" t="s">
        <v>3</v>
      </c>
      <c r="B6" s="34">
        <v>46122</v>
      </c>
      <c r="C6" s="2" t="s">
        <v>4</v>
      </c>
      <c r="D6" s="35">
        <v>0.3611111111111111</v>
      </c>
      <c r="E6" s="3" t="s">
        <v>5</v>
      </c>
      <c r="F6" s="37" t="s">
        <v>140</v>
      </c>
      <c r="G6" s="114"/>
      <c r="H6" s="92"/>
      <c r="I6" s="92"/>
      <c r="J6" s="92"/>
      <c r="K6" s="93"/>
    </row>
    <row r="7" spans="1:11" ht="32.25" customHeight="1">
      <c r="A7" s="4" t="s">
        <v>6</v>
      </c>
      <c r="B7" s="5">
        <v>22.4</v>
      </c>
      <c r="C7" s="6" t="s">
        <v>7</v>
      </c>
      <c r="D7" s="35">
        <v>0.45833333333333331</v>
      </c>
      <c r="E7" s="7" t="s">
        <v>8</v>
      </c>
      <c r="F7" s="73">
        <v>46118</v>
      </c>
      <c r="G7" s="115"/>
      <c r="H7" s="81"/>
      <c r="I7" s="81"/>
      <c r="J7" s="81"/>
      <c r="K7" s="116"/>
    </row>
    <row r="8" spans="1:11" ht="32.25" customHeight="1" thickBot="1">
      <c r="A8" s="8" t="s">
        <v>9</v>
      </c>
      <c r="B8" s="9">
        <v>0.54</v>
      </c>
      <c r="C8" s="10" t="s">
        <v>10</v>
      </c>
      <c r="D8" s="11" t="s">
        <v>11</v>
      </c>
      <c r="E8" s="120"/>
      <c r="F8" s="121"/>
      <c r="G8" s="115"/>
      <c r="H8" s="81"/>
      <c r="I8" s="81"/>
      <c r="J8" s="81"/>
      <c r="K8" s="116"/>
    </row>
    <row r="9" spans="1:11" ht="13.5" customHeight="1">
      <c r="A9" s="12"/>
      <c r="B9" s="13"/>
      <c r="C9" s="13"/>
      <c r="D9" s="13"/>
      <c r="E9" s="14"/>
      <c r="F9" s="14"/>
      <c r="G9" s="115"/>
      <c r="H9" s="81"/>
      <c r="I9" s="81"/>
      <c r="J9" s="81"/>
      <c r="K9" s="116"/>
    </row>
    <row r="10" spans="1:11" ht="13.5" customHeight="1">
      <c r="A10" s="15"/>
      <c r="B10" s="16"/>
      <c r="C10" s="16"/>
      <c r="D10" s="16"/>
      <c r="E10" s="16"/>
      <c r="F10" s="16"/>
      <c r="G10" s="115"/>
      <c r="H10" s="81"/>
      <c r="I10" s="81"/>
      <c r="J10" s="81"/>
      <c r="K10" s="116"/>
    </row>
    <row r="11" spans="1:11" ht="13.5" customHeight="1" thickBot="1">
      <c r="A11" s="15"/>
      <c r="B11" s="16"/>
      <c r="C11" s="16"/>
      <c r="D11" s="16"/>
      <c r="E11" s="16"/>
      <c r="F11" s="16"/>
      <c r="G11" s="115"/>
      <c r="H11" s="81"/>
      <c r="I11" s="81"/>
      <c r="J11" s="81"/>
      <c r="K11" s="116"/>
    </row>
    <row r="12" spans="1:11" ht="16.5" customHeight="1" thickBot="1">
      <c r="A12" s="112" t="s">
        <v>12</v>
      </c>
      <c r="B12" s="113"/>
      <c r="C12" s="113"/>
      <c r="D12" s="63"/>
      <c r="E12" s="82" t="s">
        <v>33</v>
      </c>
      <c r="F12" s="83"/>
      <c r="G12" s="115"/>
      <c r="H12" s="81"/>
      <c r="I12" s="81"/>
      <c r="J12" s="81"/>
      <c r="K12" s="116"/>
    </row>
    <row r="13" spans="1:11" ht="32.25" customHeight="1" thickBot="1">
      <c r="A13" s="18" t="s">
        <v>13</v>
      </c>
      <c r="B13" s="19" t="s">
        <v>14</v>
      </c>
      <c r="C13" s="36" t="s">
        <v>15</v>
      </c>
      <c r="D13" s="45"/>
      <c r="E13" s="17" t="s">
        <v>16</v>
      </c>
      <c r="F13" s="38" t="s">
        <v>17</v>
      </c>
      <c r="G13" s="115"/>
      <c r="H13" s="81"/>
      <c r="I13" s="81"/>
      <c r="J13" s="81"/>
      <c r="K13" s="116"/>
    </row>
    <row r="14" spans="1:11" ht="16.5" customHeight="1">
      <c r="A14" s="42">
        <v>630</v>
      </c>
      <c r="B14" s="43">
        <v>3.2000000000000001E-2</v>
      </c>
      <c r="C14" s="44">
        <v>8.5079999999999991</v>
      </c>
      <c r="D14" s="45"/>
      <c r="E14" s="42" t="s">
        <v>18</v>
      </c>
      <c r="F14" s="46">
        <f>SLOPE(B14:B20,C14:C20)</f>
        <v>5.5231143070290896E-3</v>
      </c>
      <c r="G14" s="115"/>
      <c r="H14" s="81"/>
      <c r="I14" s="81"/>
      <c r="J14" s="81"/>
      <c r="K14" s="116"/>
    </row>
    <row r="15" spans="1:11" ht="16.5" customHeight="1">
      <c r="A15" s="47">
        <v>634</v>
      </c>
      <c r="B15" s="48">
        <v>7.3999999999999996E-2</v>
      </c>
      <c r="C15" s="49">
        <v>16.212</v>
      </c>
      <c r="D15" s="45"/>
      <c r="E15" s="47" t="s">
        <v>19</v>
      </c>
      <c r="F15" s="50">
        <f>INTERCEPT(B14:B20,C14:C20)</f>
        <v>-1.8759814271347708E-2</v>
      </c>
      <c r="G15" s="115"/>
      <c r="H15" s="81"/>
      <c r="I15" s="81"/>
      <c r="J15" s="81"/>
      <c r="K15" s="116"/>
    </row>
    <row r="16" spans="1:11" ht="16.5" customHeight="1">
      <c r="A16" s="47">
        <v>583</v>
      </c>
      <c r="B16" s="48">
        <v>0.108</v>
      </c>
      <c r="C16" s="51">
        <v>22.911000000000001</v>
      </c>
      <c r="D16" s="52"/>
      <c r="E16" s="47" t="s">
        <v>139</v>
      </c>
      <c r="F16" s="53">
        <f>CORREL(B14:B20,C14:C20)</f>
        <v>0.99580819653756814</v>
      </c>
      <c r="G16" s="115"/>
      <c r="H16" s="81"/>
      <c r="I16" s="81"/>
      <c r="J16" s="81"/>
      <c r="K16" s="116"/>
    </row>
    <row r="17" spans="1:11" ht="16.5" customHeight="1" thickBot="1">
      <c r="A17" s="47">
        <v>597</v>
      </c>
      <c r="B17" s="48">
        <v>0.14499999999999999</v>
      </c>
      <c r="C17" s="51">
        <v>31.62</v>
      </c>
      <c r="D17" s="52"/>
      <c r="E17" s="54" t="s">
        <v>20</v>
      </c>
      <c r="F17" s="55">
        <f>CORREL(B14:B20,C14:C20)^2</f>
        <v>0.99163396429140394</v>
      </c>
      <c r="G17" s="117"/>
      <c r="H17" s="118"/>
      <c r="I17" s="118"/>
      <c r="J17" s="118"/>
      <c r="K17" s="119"/>
    </row>
    <row r="18" spans="1:11" ht="15.75" customHeight="1">
      <c r="A18" s="47">
        <v>617</v>
      </c>
      <c r="B18" s="48">
        <v>0.182</v>
      </c>
      <c r="C18" s="51">
        <v>38.319000000000003</v>
      </c>
      <c r="D18" s="52"/>
      <c r="E18" s="56"/>
      <c r="F18" s="57"/>
      <c r="G18" s="20"/>
      <c r="H18" s="20"/>
      <c r="I18" s="20"/>
      <c r="J18" s="20"/>
      <c r="K18" s="20"/>
    </row>
    <row r="19" spans="1:11" ht="15.75" customHeight="1">
      <c r="A19" s="47">
        <v>611</v>
      </c>
      <c r="B19" s="48">
        <v>0.24299999999999999</v>
      </c>
      <c r="C19" s="51">
        <v>45.018000000000001</v>
      </c>
      <c r="D19" s="52"/>
      <c r="E19" s="56"/>
      <c r="F19" s="57"/>
      <c r="G19" s="20"/>
      <c r="H19" s="20"/>
      <c r="I19" s="20"/>
      <c r="J19" s="20"/>
      <c r="K19" s="20"/>
    </row>
    <row r="20" spans="1:11" ht="15.75" customHeight="1">
      <c r="A20" s="47">
        <v>652</v>
      </c>
      <c r="B20" s="48">
        <v>0.29499999999999998</v>
      </c>
      <c r="C20" s="51">
        <v>56.548999999999999</v>
      </c>
      <c r="D20" s="52"/>
      <c r="E20" s="56"/>
      <c r="F20" s="57"/>
      <c r="G20" s="20"/>
      <c r="H20" s="20"/>
      <c r="I20" s="20"/>
      <c r="J20" s="20"/>
      <c r="K20" s="20"/>
    </row>
    <row r="21" spans="1:11" ht="13.5" customHeight="1" thickBot="1">
      <c r="A21" s="58"/>
      <c r="B21" s="59"/>
      <c r="C21" s="59"/>
      <c r="D21" s="60"/>
      <c r="E21" s="61"/>
      <c r="F21" s="62"/>
      <c r="G21" s="20"/>
      <c r="H21" s="20"/>
      <c r="I21" s="20"/>
      <c r="J21" s="20"/>
      <c r="K21" s="20"/>
    </row>
    <row r="22" spans="1:11" ht="23.25" customHeight="1" thickBot="1">
      <c r="A22" s="91" t="s">
        <v>21</v>
      </c>
      <c r="B22" s="92"/>
      <c r="C22" s="93"/>
      <c r="G22" s="20"/>
      <c r="H22" s="20"/>
      <c r="I22" s="20"/>
      <c r="J22" s="20"/>
      <c r="K22" s="20"/>
    </row>
    <row r="23" spans="1:11" ht="13.5" customHeight="1">
      <c r="A23" s="94" t="s">
        <v>22</v>
      </c>
      <c r="B23" s="110" t="s">
        <v>14</v>
      </c>
      <c r="C23" s="100" t="s">
        <v>23</v>
      </c>
      <c r="F23" s="20"/>
      <c r="G23" s="20"/>
      <c r="H23" s="20"/>
      <c r="I23" s="20"/>
      <c r="J23" s="20"/>
      <c r="K23" s="20"/>
    </row>
    <row r="24" spans="1:11" ht="21.75" customHeight="1" thickBot="1">
      <c r="A24" s="95"/>
      <c r="B24" s="111"/>
      <c r="C24" s="101"/>
      <c r="F24" s="21"/>
      <c r="G24" s="22"/>
      <c r="J24" s="20"/>
      <c r="K24" s="20"/>
    </row>
    <row r="25" spans="1:11" ht="17.25" customHeight="1">
      <c r="A25" s="28" t="s">
        <v>138</v>
      </c>
      <c r="B25" s="64"/>
      <c r="C25" s="65"/>
      <c r="D25" s="24"/>
      <c r="E25" s="25"/>
      <c r="F25" s="26"/>
      <c r="G25" s="27"/>
      <c r="H25" s="20"/>
      <c r="I25" s="20"/>
    </row>
    <row r="26" spans="1:11" ht="17.25" customHeight="1">
      <c r="A26" s="28" t="s">
        <v>24</v>
      </c>
      <c r="B26" s="64">
        <v>0.15</v>
      </c>
      <c r="C26" s="65">
        <f t="shared" ref="C26:C90" si="0">((B26)-($F$15))/$F$14</f>
        <v>30.555191308746323</v>
      </c>
      <c r="D26" s="24"/>
      <c r="E26" s="80"/>
      <c r="F26" s="26"/>
      <c r="G26" s="27"/>
      <c r="H26" s="20"/>
      <c r="I26" s="20"/>
    </row>
    <row r="27" spans="1:11" ht="17.25" customHeight="1">
      <c r="A27" s="23" t="s">
        <v>25</v>
      </c>
      <c r="B27" s="64">
        <v>8.1000000000000003E-2</v>
      </c>
      <c r="C27" s="65">
        <f t="shared" si="0"/>
        <v>18.062239657865963</v>
      </c>
      <c r="D27" s="24"/>
      <c r="E27" s="80"/>
      <c r="F27" s="26"/>
      <c r="G27" s="27"/>
      <c r="H27" s="20"/>
      <c r="I27" s="20"/>
    </row>
    <row r="28" spans="1:11" ht="17.25" customHeight="1">
      <c r="A28" s="30" t="s">
        <v>26</v>
      </c>
      <c r="B28" s="64">
        <v>0.158</v>
      </c>
      <c r="C28" s="65">
        <f t="shared" si="0"/>
        <v>32.003649471167236</v>
      </c>
      <c r="D28" s="24"/>
      <c r="E28" s="80"/>
      <c r="F28" s="26"/>
      <c r="G28" s="27"/>
      <c r="H28" s="20"/>
      <c r="I28" s="20"/>
    </row>
    <row r="29" spans="1:11" ht="17.25" customHeight="1">
      <c r="A29" s="32" t="s">
        <v>27</v>
      </c>
      <c r="B29" s="64">
        <v>6.4000000000000001E-2</v>
      </c>
      <c r="C29" s="65">
        <f t="shared" si="0"/>
        <v>14.984266062721527</v>
      </c>
      <c r="D29" s="24"/>
      <c r="E29" s="80"/>
      <c r="F29" s="26"/>
      <c r="G29" s="27"/>
      <c r="H29" s="20"/>
      <c r="I29" s="20"/>
    </row>
    <row r="30" spans="1:11" ht="17.25" customHeight="1">
      <c r="A30" s="32" t="s">
        <v>28</v>
      </c>
      <c r="B30" s="64">
        <v>0.14899999999999999</v>
      </c>
      <c r="C30" s="65">
        <f t="shared" si="0"/>
        <v>30.374134038443707</v>
      </c>
      <c r="D30" s="24"/>
      <c r="E30" s="80"/>
      <c r="F30" s="26"/>
      <c r="G30" s="27"/>
      <c r="H30" s="20"/>
      <c r="I30" s="20"/>
    </row>
    <row r="31" spans="1:11" ht="17.25" customHeight="1">
      <c r="A31" s="32" t="s">
        <v>29</v>
      </c>
      <c r="B31" s="64">
        <v>0.11600000000000001</v>
      </c>
      <c r="C31" s="65">
        <f t="shared" si="0"/>
        <v>24.39924411845745</v>
      </c>
      <c r="D31" s="24"/>
      <c r="E31" s="80"/>
      <c r="F31" s="26"/>
      <c r="G31" s="27"/>
      <c r="H31" s="20"/>
      <c r="I31" s="20"/>
    </row>
    <row r="32" spans="1:11" ht="17.25" customHeight="1">
      <c r="A32" s="32" t="s">
        <v>30</v>
      </c>
      <c r="B32" s="64">
        <v>0.15</v>
      </c>
      <c r="C32" s="65">
        <f t="shared" si="0"/>
        <v>30.555191308746323</v>
      </c>
      <c r="D32" s="24"/>
      <c r="E32" s="80"/>
      <c r="F32" s="26"/>
      <c r="G32" s="27"/>
      <c r="H32" s="20"/>
      <c r="I32" s="20"/>
    </row>
    <row r="33" spans="1:9" ht="17.25" customHeight="1">
      <c r="A33" s="32" t="s">
        <v>32</v>
      </c>
      <c r="B33" s="64">
        <v>8.5000000000000006E-2</v>
      </c>
      <c r="C33" s="65">
        <f t="shared" si="0"/>
        <v>18.786468739076419</v>
      </c>
      <c r="D33" s="24"/>
      <c r="E33" s="80"/>
      <c r="F33" s="26"/>
      <c r="G33" s="27"/>
      <c r="H33" s="20"/>
      <c r="I33" s="20"/>
    </row>
    <row r="34" spans="1:9" ht="17.25" customHeight="1">
      <c r="A34" s="32" t="s">
        <v>31</v>
      </c>
      <c r="B34" s="64">
        <v>0.20200000000000001</v>
      </c>
      <c r="C34" s="65">
        <f t="shared" si="0"/>
        <v>39.970169364482246</v>
      </c>
      <c r="D34" s="24"/>
      <c r="E34" s="80"/>
      <c r="F34" s="26"/>
      <c r="G34" s="27"/>
      <c r="H34" s="20"/>
      <c r="I34" s="20"/>
    </row>
    <row r="35" spans="1:9" ht="17.25" customHeight="1">
      <c r="A35" s="32" t="s">
        <v>46</v>
      </c>
      <c r="B35" s="64">
        <v>6.7000000000000004E-2</v>
      </c>
      <c r="C35" s="65">
        <f t="shared" si="0"/>
        <v>15.527437873629369</v>
      </c>
      <c r="D35" s="24"/>
      <c r="E35" s="29"/>
      <c r="F35" s="26"/>
      <c r="G35" s="27"/>
      <c r="H35" s="20"/>
      <c r="I35" s="20"/>
    </row>
    <row r="36" spans="1:9" ht="17.25" customHeight="1">
      <c r="A36" s="32" t="s">
        <v>47</v>
      </c>
      <c r="B36" s="66">
        <v>4.5999999999999999E-2</v>
      </c>
      <c r="C36" s="65">
        <f t="shared" si="0"/>
        <v>11.725235197274475</v>
      </c>
      <c r="D36" s="24"/>
      <c r="E36" s="29"/>
      <c r="F36" s="26"/>
      <c r="G36" s="27"/>
      <c r="H36" s="20"/>
      <c r="I36" s="20"/>
    </row>
    <row r="37" spans="1:9" ht="17.25" customHeight="1">
      <c r="A37" s="32" t="s">
        <v>48</v>
      </c>
      <c r="B37" s="66">
        <v>2.7E-2</v>
      </c>
      <c r="C37" s="65">
        <f t="shared" si="0"/>
        <v>8.2851470615248104</v>
      </c>
      <c r="D37" s="24"/>
      <c r="E37" s="29"/>
      <c r="F37" s="26"/>
      <c r="G37" s="27"/>
      <c r="H37" s="20"/>
      <c r="I37" s="20"/>
    </row>
    <row r="38" spans="1:9" ht="17.25" customHeight="1">
      <c r="A38" s="32" t="s">
        <v>49</v>
      </c>
      <c r="B38" s="66">
        <v>7.8E-2</v>
      </c>
      <c r="C38" s="65">
        <f t="shared" si="0"/>
        <v>17.519067846958119</v>
      </c>
      <c r="D38" s="24"/>
      <c r="E38" s="29"/>
      <c r="F38" s="26"/>
      <c r="G38" s="27"/>
      <c r="H38" s="20"/>
      <c r="I38" s="20"/>
    </row>
    <row r="39" spans="1:9" ht="17.25" customHeight="1">
      <c r="A39" s="32" t="s">
        <v>50</v>
      </c>
      <c r="B39" s="66">
        <v>3.2000000000000001E-2</v>
      </c>
      <c r="C39" s="65">
        <f t="shared" si="0"/>
        <v>9.1904334130378817</v>
      </c>
      <c r="D39" s="24"/>
      <c r="E39" s="29"/>
      <c r="F39" s="26"/>
      <c r="G39" s="27"/>
      <c r="H39" s="20"/>
      <c r="I39" s="20"/>
    </row>
    <row r="40" spans="1:9" ht="17.25" customHeight="1">
      <c r="A40" s="32" t="s">
        <v>51</v>
      </c>
      <c r="B40" s="66">
        <v>3.5000000000000003E-2</v>
      </c>
      <c r="C40" s="65">
        <f t="shared" si="0"/>
        <v>9.7336052239457231</v>
      </c>
      <c r="D40" s="24"/>
      <c r="E40" s="29"/>
      <c r="F40" s="26"/>
      <c r="G40" s="27"/>
      <c r="H40" s="20"/>
      <c r="I40" s="20"/>
    </row>
    <row r="41" spans="1:9" ht="17.25" customHeight="1">
      <c r="A41" s="32" t="s">
        <v>52</v>
      </c>
      <c r="B41" s="66">
        <v>2.1999999999999999E-2</v>
      </c>
      <c r="C41" s="65">
        <f t="shared" si="0"/>
        <v>7.3798607100117417</v>
      </c>
      <c r="D41" s="24"/>
      <c r="E41" s="29"/>
      <c r="F41" s="26"/>
      <c r="G41" s="27"/>
      <c r="H41" s="20"/>
      <c r="I41" s="20"/>
    </row>
    <row r="42" spans="1:9" ht="17.25" customHeight="1">
      <c r="A42" s="32" t="s">
        <v>53</v>
      </c>
      <c r="B42" s="66">
        <v>1.4999999999999999E-2</v>
      </c>
      <c r="C42" s="65">
        <f t="shared" si="0"/>
        <v>6.1124598178934448</v>
      </c>
      <c r="D42" s="24"/>
      <c r="E42" s="29"/>
      <c r="F42" s="26"/>
      <c r="G42" s="27"/>
      <c r="H42" s="20"/>
      <c r="I42" s="20"/>
    </row>
    <row r="43" spans="1:9" ht="17.25" customHeight="1">
      <c r="A43" s="32" t="s">
        <v>54</v>
      </c>
      <c r="B43" s="66">
        <v>8.6999999999999994E-2</v>
      </c>
      <c r="C43" s="65">
        <f t="shared" si="0"/>
        <v>19.148583279681645</v>
      </c>
      <c r="D43" s="24"/>
      <c r="E43" s="29"/>
      <c r="F43" s="26"/>
      <c r="G43" s="27"/>
      <c r="H43" s="20"/>
      <c r="I43" s="20"/>
    </row>
    <row r="44" spans="1:9" ht="17.25" customHeight="1">
      <c r="A44" s="32" t="s">
        <v>55</v>
      </c>
      <c r="B44" s="66">
        <v>2.5999999999999999E-2</v>
      </c>
      <c r="C44" s="65">
        <f t="shared" si="0"/>
        <v>8.1040897912221972</v>
      </c>
      <c r="D44" s="24"/>
      <c r="E44" s="29"/>
      <c r="F44" s="26"/>
      <c r="G44" s="27"/>
      <c r="H44" s="20"/>
      <c r="I44" s="20"/>
    </row>
    <row r="45" spans="1:9" ht="17.25" customHeight="1">
      <c r="A45" s="32" t="s">
        <v>56</v>
      </c>
      <c r="B45" s="66">
        <v>1.4999999999999999E-2</v>
      </c>
      <c r="C45" s="65">
        <f t="shared" si="0"/>
        <v>6.1124598178934448</v>
      </c>
      <c r="D45" s="24"/>
      <c r="E45" s="29"/>
      <c r="F45" s="26"/>
      <c r="G45" s="27"/>
      <c r="H45" s="20"/>
      <c r="I45" s="20"/>
    </row>
    <row r="46" spans="1:9" ht="17.25" customHeight="1">
      <c r="A46" s="32" t="s">
        <v>57</v>
      </c>
      <c r="B46" s="66">
        <v>7.0000000000000007E-2</v>
      </c>
      <c r="C46" s="65">
        <f t="shared" si="0"/>
        <v>16.07060968453721</v>
      </c>
      <c r="D46" s="24"/>
      <c r="E46" s="29"/>
      <c r="F46" s="26"/>
      <c r="G46" s="27"/>
      <c r="H46" s="20"/>
      <c r="I46" s="20"/>
    </row>
    <row r="47" spans="1:9" ht="17.25" customHeight="1">
      <c r="A47" s="32" t="s">
        <v>58</v>
      </c>
      <c r="B47" s="66">
        <v>1.7999999999999999E-2</v>
      </c>
      <c r="C47" s="65">
        <f t="shared" si="0"/>
        <v>6.6556316288012871</v>
      </c>
      <c r="D47" s="24"/>
      <c r="E47" s="29"/>
      <c r="F47" s="26"/>
      <c r="G47" s="27"/>
      <c r="H47" s="20"/>
      <c r="I47" s="20"/>
    </row>
    <row r="48" spans="1:9" ht="17.25" customHeight="1">
      <c r="A48" s="32" t="s">
        <v>59</v>
      </c>
      <c r="B48" s="66">
        <v>1.2999999999999999E-2</v>
      </c>
      <c r="C48" s="65">
        <f t="shared" si="0"/>
        <v>5.7503452772882166</v>
      </c>
      <c r="D48" s="24"/>
      <c r="E48" s="29"/>
      <c r="F48" s="26"/>
      <c r="G48" s="27"/>
      <c r="H48" s="20"/>
      <c r="I48" s="20"/>
    </row>
    <row r="49" spans="1:11" ht="17.25" customHeight="1">
      <c r="A49" s="32" t="s">
        <v>60</v>
      </c>
      <c r="B49" s="66">
        <v>5.3999999999999999E-2</v>
      </c>
      <c r="C49" s="65">
        <f t="shared" si="0"/>
        <v>13.173693359695386</v>
      </c>
      <c r="D49" s="24"/>
      <c r="E49" s="29"/>
      <c r="F49" s="26"/>
      <c r="G49" s="27"/>
      <c r="H49" s="20"/>
      <c r="I49" s="20"/>
    </row>
    <row r="50" spans="1:11" ht="17.25" customHeight="1">
      <c r="A50" s="32" t="s">
        <v>61</v>
      </c>
      <c r="B50" s="66">
        <v>7.0000000000000007E-2</v>
      </c>
      <c r="C50" s="65">
        <f t="shared" si="0"/>
        <v>16.07060968453721</v>
      </c>
      <c r="D50" s="24"/>
      <c r="E50" s="29"/>
      <c r="F50" s="26"/>
      <c r="G50" s="27"/>
      <c r="H50" s="20"/>
      <c r="I50" s="20"/>
    </row>
    <row r="51" spans="1:11" ht="17.25" customHeight="1">
      <c r="A51" s="32" t="s">
        <v>62</v>
      </c>
      <c r="B51" s="66">
        <v>7.9000000000000001E-2</v>
      </c>
      <c r="C51" s="65">
        <f t="shared" si="0"/>
        <v>17.700125117260736</v>
      </c>
      <c r="D51" s="24"/>
      <c r="E51" s="29"/>
      <c r="F51" s="26"/>
      <c r="G51" s="27"/>
      <c r="H51" s="20"/>
      <c r="I51" s="20"/>
    </row>
    <row r="52" spans="1:11" ht="17.25" customHeight="1">
      <c r="A52" s="32" t="s">
        <v>63</v>
      </c>
      <c r="B52" s="66">
        <v>1.6E-2</v>
      </c>
      <c r="C52" s="65">
        <f t="shared" si="0"/>
        <v>6.2935170881960589</v>
      </c>
      <c r="D52" s="24"/>
      <c r="E52" s="29"/>
      <c r="F52" s="26"/>
      <c r="G52" s="27"/>
      <c r="H52" s="20"/>
      <c r="I52" s="20"/>
    </row>
    <row r="53" spans="1:11" ht="17.25" customHeight="1">
      <c r="A53" s="32" t="s">
        <v>64</v>
      </c>
      <c r="B53" s="66">
        <v>3.6999999999999998E-2</v>
      </c>
      <c r="C53" s="65">
        <f t="shared" si="0"/>
        <v>10.09571976455095</v>
      </c>
      <c r="D53" s="24"/>
      <c r="E53" s="20"/>
      <c r="F53" s="29"/>
      <c r="G53" s="26"/>
      <c r="H53" s="27"/>
      <c r="I53" s="20"/>
      <c r="J53" s="20"/>
    </row>
    <row r="54" spans="1:11" ht="18" customHeight="1">
      <c r="A54" s="32" t="s">
        <v>65</v>
      </c>
      <c r="B54" s="66">
        <v>3.5000000000000003E-2</v>
      </c>
      <c r="C54" s="65">
        <f t="shared" si="0"/>
        <v>9.7336052239457231</v>
      </c>
      <c r="D54" s="24"/>
      <c r="E54" s="21"/>
      <c r="F54" s="25"/>
      <c r="G54" s="26"/>
      <c r="H54" s="27"/>
      <c r="I54" s="20"/>
      <c r="J54" s="20"/>
    </row>
    <row r="55" spans="1:11" ht="18" customHeight="1">
      <c r="A55" s="32" t="s">
        <v>66</v>
      </c>
      <c r="B55" s="66">
        <v>8.8999999999999996E-2</v>
      </c>
      <c r="C55" s="65">
        <f t="shared" si="0"/>
        <v>19.510697820286872</v>
      </c>
      <c r="D55" s="24"/>
      <c r="E55" s="20"/>
      <c r="F55" s="25"/>
      <c r="G55" s="26"/>
      <c r="H55" s="27"/>
      <c r="I55" s="20"/>
      <c r="J55" s="20"/>
    </row>
    <row r="56" spans="1:11" ht="18" customHeight="1">
      <c r="A56" s="32" t="s">
        <v>67</v>
      </c>
      <c r="B56" s="67">
        <v>0.02</v>
      </c>
      <c r="C56" s="65">
        <f t="shared" si="0"/>
        <v>7.0177461694065153</v>
      </c>
      <c r="D56" s="24"/>
      <c r="E56" s="20"/>
      <c r="F56" s="25"/>
      <c r="G56" s="26"/>
      <c r="H56" s="27"/>
      <c r="I56" s="20"/>
      <c r="J56" s="20"/>
    </row>
    <row r="57" spans="1:11" ht="18" customHeight="1">
      <c r="A57" s="32" t="s">
        <v>68</v>
      </c>
      <c r="B57" s="67">
        <v>0.112</v>
      </c>
      <c r="C57" s="65">
        <f t="shared" si="0"/>
        <v>23.675015037246993</v>
      </c>
      <c r="D57" s="24"/>
      <c r="E57" s="20"/>
      <c r="F57" s="25"/>
      <c r="G57" s="26"/>
      <c r="H57" s="26"/>
      <c r="I57" s="21"/>
      <c r="J57" s="20"/>
    </row>
    <row r="58" spans="1:11" ht="18" customHeight="1">
      <c r="A58" s="32" t="s">
        <v>69</v>
      </c>
      <c r="B58" s="67">
        <v>3.5000000000000003E-2</v>
      </c>
      <c r="C58" s="65">
        <f t="shared" si="0"/>
        <v>9.7336052239457231</v>
      </c>
      <c r="D58" s="31"/>
      <c r="E58" s="20"/>
      <c r="F58" s="20"/>
      <c r="G58" s="29"/>
      <c r="H58" s="26"/>
      <c r="I58" s="26"/>
      <c r="J58" s="20"/>
      <c r="K58" s="20"/>
    </row>
    <row r="59" spans="1:11" ht="18" customHeight="1">
      <c r="A59" s="32" t="s">
        <v>70</v>
      </c>
      <c r="B59" s="67">
        <v>3.9E-2</v>
      </c>
      <c r="C59" s="65">
        <f t="shared" si="0"/>
        <v>10.457834305156178</v>
      </c>
      <c r="D59" s="29"/>
      <c r="E59" s="26"/>
      <c r="F59" s="27"/>
      <c r="G59" s="20"/>
      <c r="H59" s="20"/>
    </row>
    <row r="60" spans="1:11" ht="18" customHeight="1">
      <c r="A60" s="32" t="s">
        <v>71</v>
      </c>
      <c r="B60" s="67">
        <v>1.7999999999999999E-2</v>
      </c>
      <c r="C60" s="65">
        <f t="shared" si="0"/>
        <v>6.6556316288012871</v>
      </c>
      <c r="D60" s="29"/>
      <c r="E60" s="26"/>
      <c r="F60" s="27"/>
      <c r="G60" s="20"/>
      <c r="H60" s="20"/>
    </row>
    <row r="61" spans="1:11" ht="18" customHeight="1">
      <c r="A61" s="32" t="s">
        <v>72</v>
      </c>
      <c r="B61" s="67">
        <v>1.4E-2</v>
      </c>
      <c r="C61" s="65">
        <f t="shared" si="0"/>
        <v>5.9314025475908307</v>
      </c>
      <c r="D61" s="29"/>
      <c r="E61" s="26"/>
      <c r="F61" s="27"/>
      <c r="G61" s="20"/>
      <c r="H61" s="20"/>
    </row>
    <row r="62" spans="1:11" ht="18" customHeight="1">
      <c r="A62" s="32" t="s">
        <v>73</v>
      </c>
      <c r="B62" s="67">
        <v>2.1000000000000001E-2</v>
      </c>
      <c r="C62" s="65">
        <f t="shared" si="0"/>
        <v>7.1988034397091294</v>
      </c>
      <c r="D62" s="29"/>
      <c r="E62" s="26"/>
      <c r="F62" s="27"/>
      <c r="G62" s="20"/>
      <c r="H62" s="20"/>
    </row>
    <row r="63" spans="1:11" ht="18" customHeight="1">
      <c r="A63" s="32" t="s">
        <v>74</v>
      </c>
      <c r="B63" s="67">
        <v>8.0000000000000002E-3</v>
      </c>
      <c r="C63" s="65">
        <f t="shared" si="0"/>
        <v>4.8450589257751471</v>
      </c>
      <c r="D63" s="20"/>
      <c r="E63" s="20"/>
    </row>
    <row r="64" spans="1:11" ht="18" customHeight="1">
      <c r="A64" s="32" t="s">
        <v>75</v>
      </c>
      <c r="B64" s="67">
        <v>1.7999999999999999E-2</v>
      </c>
      <c r="C64" s="65">
        <f t="shared" si="0"/>
        <v>6.6556316288012871</v>
      </c>
      <c r="D64" s="20"/>
      <c r="E64" s="20"/>
    </row>
    <row r="65" spans="1:9" ht="18" customHeight="1">
      <c r="A65" s="32" t="s">
        <v>76</v>
      </c>
      <c r="B65" s="67">
        <v>5.6000000000000001E-2</v>
      </c>
      <c r="C65" s="65">
        <f t="shared" si="0"/>
        <v>13.535807900300615</v>
      </c>
      <c r="D65" s="20"/>
      <c r="E65" s="20"/>
    </row>
    <row r="66" spans="1:9" ht="18" customHeight="1">
      <c r="A66" s="32" t="s">
        <v>77</v>
      </c>
      <c r="B66" s="67">
        <v>4.7E-2</v>
      </c>
      <c r="C66" s="65">
        <f t="shared" si="0"/>
        <v>11.90629246757709</v>
      </c>
      <c r="D66" s="20"/>
      <c r="E66" s="20"/>
    </row>
    <row r="67" spans="1:9" ht="18" customHeight="1">
      <c r="A67" s="32" t="s">
        <v>78</v>
      </c>
      <c r="B67" s="67">
        <v>5.3999999999999999E-2</v>
      </c>
      <c r="C67" s="65">
        <f t="shared" si="0"/>
        <v>13.173693359695386</v>
      </c>
      <c r="D67" s="20"/>
      <c r="E67" s="20"/>
    </row>
    <row r="68" spans="1:9" ht="18" customHeight="1">
      <c r="A68" s="32" t="s">
        <v>79</v>
      </c>
      <c r="B68" s="67">
        <v>1.7000000000000001E-2</v>
      </c>
      <c r="C68" s="65">
        <f t="shared" si="0"/>
        <v>6.474574358498673</v>
      </c>
      <c r="D68" s="20"/>
      <c r="E68" s="20"/>
    </row>
    <row r="69" spans="1:9" ht="18" customHeight="1">
      <c r="A69" s="32" t="s">
        <v>80</v>
      </c>
      <c r="B69" s="68">
        <v>0.03</v>
      </c>
      <c r="C69" s="65">
        <f t="shared" si="0"/>
        <v>8.8283188724326536</v>
      </c>
      <c r="D69" s="20"/>
      <c r="E69" s="20"/>
    </row>
    <row r="70" spans="1:9" ht="18" customHeight="1">
      <c r="A70" s="32" t="s">
        <v>81</v>
      </c>
      <c r="B70" s="69">
        <v>2.5000000000000001E-2</v>
      </c>
      <c r="C70" s="65">
        <f t="shared" si="0"/>
        <v>7.923032520919584</v>
      </c>
      <c r="D70" s="20"/>
      <c r="E70" s="20"/>
    </row>
    <row r="71" spans="1:9" ht="18" customHeight="1">
      <c r="A71" s="32" t="s">
        <v>82</v>
      </c>
      <c r="B71" s="69">
        <v>2.1999999999999999E-2</v>
      </c>
      <c r="C71" s="65">
        <f t="shared" si="0"/>
        <v>7.3798607100117417</v>
      </c>
      <c r="D71" s="20"/>
      <c r="E71" s="20"/>
    </row>
    <row r="72" spans="1:9" ht="18" customHeight="1">
      <c r="A72" s="32" t="s">
        <v>83</v>
      </c>
      <c r="B72" s="69">
        <v>0.04</v>
      </c>
      <c r="C72" s="65">
        <f t="shared" si="0"/>
        <v>10.638891575458793</v>
      </c>
      <c r="D72" s="20"/>
      <c r="E72" s="20"/>
    </row>
    <row r="73" spans="1:9" ht="18" customHeight="1">
      <c r="A73" s="32" t="s">
        <v>84</v>
      </c>
      <c r="B73" s="69">
        <v>8.8999999999999996E-2</v>
      </c>
      <c r="C73" s="65">
        <f t="shared" si="0"/>
        <v>19.510697820286872</v>
      </c>
      <c r="D73" s="20"/>
      <c r="E73" s="20"/>
    </row>
    <row r="74" spans="1:9" ht="18" customHeight="1">
      <c r="A74" s="32" t="s">
        <v>85</v>
      </c>
      <c r="B74" s="69">
        <v>0.04</v>
      </c>
      <c r="C74" s="65">
        <f t="shared" si="0"/>
        <v>10.638891575458793</v>
      </c>
      <c r="D74" s="20"/>
      <c r="E74" s="20"/>
    </row>
    <row r="75" spans="1:9" ht="18" customHeight="1">
      <c r="A75" s="32" t="s">
        <v>86</v>
      </c>
      <c r="B75" s="69">
        <v>4.1000000000000002E-2</v>
      </c>
      <c r="C75" s="65">
        <f t="shared" si="0"/>
        <v>10.819948845761406</v>
      </c>
      <c r="D75" s="20"/>
      <c r="E75" s="20"/>
    </row>
    <row r="76" spans="1:9" ht="18" customHeight="1">
      <c r="A76" s="32" t="s">
        <v>87</v>
      </c>
      <c r="B76" s="69">
        <v>2.8000000000000001E-2</v>
      </c>
      <c r="C76" s="65">
        <f t="shared" si="0"/>
        <v>8.4662043318274254</v>
      </c>
      <c r="D76" s="20"/>
      <c r="E76" s="20"/>
      <c r="H76" s="81"/>
      <c r="I76" s="81"/>
    </row>
    <row r="77" spans="1:9" ht="18" customHeight="1">
      <c r="A77" s="32" t="s">
        <v>88</v>
      </c>
      <c r="B77" s="69">
        <v>5.0999999999999997E-2</v>
      </c>
      <c r="C77" s="65">
        <f t="shared" si="0"/>
        <v>12.630521548787543</v>
      </c>
      <c r="D77" s="20"/>
      <c r="E77" s="20"/>
      <c r="H77" s="81"/>
      <c r="I77" s="81"/>
    </row>
    <row r="78" spans="1:9" ht="18" customHeight="1">
      <c r="A78" s="32" t="s">
        <v>89</v>
      </c>
      <c r="B78" s="69">
        <v>2.1999999999999999E-2</v>
      </c>
      <c r="C78" s="65">
        <f t="shared" si="0"/>
        <v>7.3798607100117417</v>
      </c>
      <c r="D78" s="20"/>
      <c r="E78" s="20"/>
    </row>
    <row r="79" spans="1:9" ht="18" customHeight="1">
      <c r="A79" s="32" t="s">
        <v>90</v>
      </c>
      <c r="B79" s="69">
        <v>8.9999999999999993E-3</v>
      </c>
      <c r="C79" s="65">
        <f t="shared" si="0"/>
        <v>5.0261161960777612</v>
      </c>
      <c r="D79" s="33"/>
    </row>
    <row r="80" spans="1:9" ht="18" customHeight="1">
      <c r="A80" s="32" t="s">
        <v>91</v>
      </c>
      <c r="B80" s="69">
        <v>8.0000000000000002E-3</v>
      </c>
      <c r="C80" s="65">
        <f t="shared" si="0"/>
        <v>4.8450589257751471</v>
      </c>
      <c r="D80" s="33"/>
      <c r="G80" s="22"/>
    </row>
    <row r="81" spans="1:7" ht="18" customHeight="1">
      <c r="A81" s="32" t="s">
        <v>92</v>
      </c>
      <c r="B81" s="69">
        <v>0.10299999999999999</v>
      </c>
      <c r="C81" s="65">
        <f t="shared" si="0"/>
        <v>22.045499604523467</v>
      </c>
      <c r="G81" s="22"/>
    </row>
    <row r="82" spans="1:7" ht="18" customHeight="1">
      <c r="A82" s="32" t="s">
        <v>93</v>
      </c>
      <c r="B82" s="69">
        <v>3.6999999999999998E-2</v>
      </c>
      <c r="C82" s="65">
        <f t="shared" si="0"/>
        <v>10.09571976455095</v>
      </c>
    </row>
    <row r="83" spans="1:7" ht="18" customHeight="1">
      <c r="A83" s="32" t="s">
        <v>94</v>
      </c>
      <c r="B83" s="69">
        <v>2.4E-2</v>
      </c>
      <c r="C83" s="65">
        <f t="shared" si="0"/>
        <v>7.7419752506169699</v>
      </c>
    </row>
    <row r="84" spans="1:7" ht="18" customHeight="1">
      <c r="A84" s="32" t="s">
        <v>95</v>
      </c>
      <c r="B84" s="69">
        <v>7.3999999999999996E-2</v>
      </c>
      <c r="C84" s="65">
        <f t="shared" si="0"/>
        <v>16.794838765747663</v>
      </c>
    </row>
    <row r="85" spans="1:7" ht="18" customHeight="1">
      <c r="A85" s="32" t="s">
        <v>96</v>
      </c>
      <c r="B85" s="69">
        <v>0.03</v>
      </c>
      <c r="C85" s="65">
        <f t="shared" si="0"/>
        <v>8.8283188724326536</v>
      </c>
    </row>
    <row r="86" spans="1:7" ht="18" customHeight="1">
      <c r="A86" s="32" t="s">
        <v>97</v>
      </c>
      <c r="B86" s="69">
        <v>5.6000000000000001E-2</v>
      </c>
      <c r="C86" s="65">
        <f t="shared" si="0"/>
        <v>13.535807900300615</v>
      </c>
    </row>
    <row r="87" spans="1:7" ht="18" customHeight="1">
      <c r="A87" s="32" t="s">
        <v>98</v>
      </c>
      <c r="B87" s="69">
        <v>9.5000000000000001E-2</v>
      </c>
      <c r="C87" s="65">
        <f t="shared" si="0"/>
        <v>20.597041442102558</v>
      </c>
    </row>
    <row r="88" spans="1:7" ht="18" customHeight="1">
      <c r="A88" s="32" t="s">
        <v>99</v>
      </c>
      <c r="B88" s="69">
        <v>0.06</v>
      </c>
      <c r="C88" s="65">
        <f t="shared" si="0"/>
        <v>14.260036981511071</v>
      </c>
    </row>
    <row r="89" spans="1:7" ht="18" customHeight="1">
      <c r="A89" s="32" t="s">
        <v>100</v>
      </c>
      <c r="B89" s="69">
        <v>0.13</v>
      </c>
      <c r="C89" s="65">
        <f t="shared" si="0"/>
        <v>26.934045902694045</v>
      </c>
    </row>
    <row r="90" spans="1:7" ht="18" customHeight="1">
      <c r="A90" s="32" t="s">
        <v>101</v>
      </c>
      <c r="B90" s="69">
        <v>3.1E-2</v>
      </c>
      <c r="C90" s="65">
        <f t="shared" si="0"/>
        <v>9.0093761427352668</v>
      </c>
    </row>
    <row r="91" spans="1:7" ht="18" customHeight="1">
      <c r="A91" s="32" t="s">
        <v>102</v>
      </c>
      <c r="B91" s="69">
        <v>0.106</v>
      </c>
      <c r="C91" s="65">
        <f t="shared" ref="C91:C126" si="1">((B91)-($F$15))/$F$14</f>
        <v>22.58867141543131</v>
      </c>
    </row>
    <row r="92" spans="1:7" ht="18" customHeight="1">
      <c r="A92" s="32" t="s">
        <v>103</v>
      </c>
      <c r="B92" s="69">
        <v>6.9000000000000006E-2</v>
      </c>
      <c r="C92" s="65">
        <f t="shared" si="1"/>
        <v>15.889552414234597</v>
      </c>
    </row>
    <row r="93" spans="1:7" ht="18" customHeight="1">
      <c r="A93" s="32" t="s">
        <v>104</v>
      </c>
      <c r="B93" s="69">
        <v>0.129</v>
      </c>
      <c r="C93" s="65">
        <f t="shared" si="1"/>
        <v>26.752988632391432</v>
      </c>
    </row>
    <row r="94" spans="1:7" ht="18" customHeight="1">
      <c r="A94" s="32" t="s">
        <v>105</v>
      </c>
      <c r="B94" s="69">
        <v>0.03</v>
      </c>
      <c r="C94" s="65">
        <f t="shared" si="1"/>
        <v>8.8283188724326536</v>
      </c>
    </row>
    <row r="95" spans="1:7" ht="18" customHeight="1">
      <c r="A95" s="32" t="s">
        <v>106</v>
      </c>
      <c r="B95" s="69">
        <v>0.13800000000000001</v>
      </c>
      <c r="C95" s="65">
        <f t="shared" si="1"/>
        <v>28.382504065114958</v>
      </c>
    </row>
    <row r="96" spans="1:7" ht="18" customHeight="1">
      <c r="A96" s="32" t="s">
        <v>107</v>
      </c>
      <c r="B96" s="69">
        <v>0.104</v>
      </c>
      <c r="C96" s="65">
        <f t="shared" si="1"/>
        <v>22.22655687482608</v>
      </c>
    </row>
    <row r="97" spans="1:3" ht="18" customHeight="1">
      <c r="A97" s="32" t="s">
        <v>108</v>
      </c>
      <c r="B97" s="69">
        <v>0.16</v>
      </c>
      <c r="C97" s="65">
        <f t="shared" si="1"/>
        <v>32.365764011772463</v>
      </c>
    </row>
    <row r="98" spans="1:3" ht="18" customHeight="1">
      <c r="A98" s="32" t="s">
        <v>109</v>
      </c>
      <c r="B98" s="69">
        <v>0.04</v>
      </c>
      <c r="C98" s="65">
        <f t="shared" si="1"/>
        <v>10.638891575458793</v>
      </c>
    </row>
    <row r="99" spans="1:3" ht="18" customHeight="1">
      <c r="A99" s="32" t="s">
        <v>110</v>
      </c>
      <c r="B99" s="69">
        <v>6.9000000000000006E-2</v>
      </c>
      <c r="C99" s="65">
        <f t="shared" si="1"/>
        <v>15.889552414234597</v>
      </c>
    </row>
    <row r="100" spans="1:3" ht="18" customHeight="1">
      <c r="A100" s="32" t="s">
        <v>111</v>
      </c>
      <c r="B100" s="69">
        <v>0.127</v>
      </c>
      <c r="C100" s="65">
        <f t="shared" si="1"/>
        <v>26.390874091786202</v>
      </c>
    </row>
    <row r="101" spans="1:3" ht="18" customHeight="1">
      <c r="A101" s="32" t="s">
        <v>112</v>
      </c>
      <c r="B101" s="69">
        <v>0.15</v>
      </c>
      <c r="C101" s="65">
        <f t="shared" si="1"/>
        <v>30.555191308746323</v>
      </c>
    </row>
    <row r="102" spans="1:3" ht="18" customHeight="1">
      <c r="A102" s="32" t="s">
        <v>113</v>
      </c>
      <c r="B102" s="69">
        <v>5.8000000000000003E-2</v>
      </c>
      <c r="C102" s="65">
        <f t="shared" si="1"/>
        <v>13.897922440905843</v>
      </c>
    </row>
    <row r="103" spans="1:3" ht="18" customHeight="1">
      <c r="A103" s="32" t="s">
        <v>114</v>
      </c>
      <c r="B103" s="69">
        <v>0.121</v>
      </c>
      <c r="C103" s="65">
        <f t="shared" si="1"/>
        <v>25.304530469970519</v>
      </c>
    </row>
    <row r="104" spans="1:3" ht="18" customHeight="1">
      <c r="A104" s="32" t="s">
        <v>115</v>
      </c>
      <c r="B104" s="69">
        <v>5.2999999999999999E-2</v>
      </c>
      <c r="C104" s="65">
        <f t="shared" si="1"/>
        <v>12.992636089392771</v>
      </c>
    </row>
    <row r="105" spans="1:3" ht="18" customHeight="1">
      <c r="A105" s="32" t="s">
        <v>116</v>
      </c>
      <c r="B105" s="69">
        <v>0.05</v>
      </c>
      <c r="C105" s="65">
        <f t="shared" si="1"/>
        <v>12.449464278484932</v>
      </c>
    </row>
    <row r="106" spans="1:3" ht="18" customHeight="1">
      <c r="A106" s="32" t="s">
        <v>117</v>
      </c>
      <c r="B106" s="69">
        <v>8.8999999999999996E-2</v>
      </c>
      <c r="C106" s="65">
        <f t="shared" si="1"/>
        <v>19.510697820286872</v>
      </c>
    </row>
    <row r="107" spans="1:3" ht="18" customHeight="1">
      <c r="A107" s="32" t="s">
        <v>118</v>
      </c>
      <c r="B107" s="69">
        <v>0.04</v>
      </c>
      <c r="C107" s="65">
        <f t="shared" si="1"/>
        <v>10.638891575458793</v>
      </c>
    </row>
    <row r="108" spans="1:3" ht="18" customHeight="1">
      <c r="A108" s="32" t="s">
        <v>119</v>
      </c>
      <c r="B108" s="69">
        <v>7.2999999999999995E-2</v>
      </c>
      <c r="C108" s="65">
        <f t="shared" si="1"/>
        <v>16.61378149544505</v>
      </c>
    </row>
    <row r="109" spans="1:3" ht="18" customHeight="1">
      <c r="A109" s="32" t="s">
        <v>120</v>
      </c>
      <c r="B109" s="69">
        <v>0.13</v>
      </c>
      <c r="C109" s="65">
        <f t="shared" si="1"/>
        <v>26.934045902694045</v>
      </c>
    </row>
    <row r="110" spans="1:3" ht="18" customHeight="1">
      <c r="A110" s="32" t="s">
        <v>121</v>
      </c>
      <c r="B110" s="69">
        <v>6.4000000000000001E-2</v>
      </c>
      <c r="C110" s="65">
        <f t="shared" si="1"/>
        <v>14.984266062721527</v>
      </c>
    </row>
    <row r="111" spans="1:3" ht="18" customHeight="1">
      <c r="A111" s="32" t="s">
        <v>122</v>
      </c>
      <c r="B111" s="69">
        <v>7.4999999999999997E-2</v>
      </c>
      <c r="C111" s="65">
        <f t="shared" si="1"/>
        <v>16.97589603605028</v>
      </c>
    </row>
    <row r="112" spans="1:3" ht="18" customHeight="1">
      <c r="A112" s="32" t="s">
        <v>123</v>
      </c>
      <c r="B112" s="69">
        <v>3.5999999999999997E-2</v>
      </c>
      <c r="C112" s="65">
        <f t="shared" si="1"/>
        <v>9.9146624942483363</v>
      </c>
    </row>
    <row r="113" spans="1:3" ht="18" customHeight="1">
      <c r="A113" s="32" t="s">
        <v>124</v>
      </c>
      <c r="B113" s="69">
        <v>5.3999999999999999E-2</v>
      </c>
      <c r="C113" s="65">
        <f t="shared" si="1"/>
        <v>13.173693359695386</v>
      </c>
    </row>
    <row r="114" spans="1:3" ht="18" customHeight="1">
      <c r="A114" s="32" t="s">
        <v>125</v>
      </c>
      <c r="B114" s="69">
        <v>8.3000000000000004E-2</v>
      </c>
      <c r="C114" s="65">
        <f t="shared" si="1"/>
        <v>18.424354198471192</v>
      </c>
    </row>
    <row r="115" spans="1:3" ht="18" customHeight="1">
      <c r="A115" s="32" t="s">
        <v>126</v>
      </c>
      <c r="B115" s="69">
        <v>4.4999999999999998E-2</v>
      </c>
      <c r="C115" s="65">
        <f t="shared" si="1"/>
        <v>11.544177926971862</v>
      </c>
    </row>
    <row r="116" spans="1:3" ht="18" customHeight="1">
      <c r="A116" s="32" t="s">
        <v>127</v>
      </c>
      <c r="B116" s="69">
        <v>6.0999999999999999E-2</v>
      </c>
      <c r="C116" s="65">
        <f t="shared" si="1"/>
        <v>14.441094251813684</v>
      </c>
    </row>
    <row r="117" spans="1:3" ht="18" customHeight="1">
      <c r="A117" s="32" t="s">
        <v>128</v>
      </c>
      <c r="B117" s="69">
        <v>0.05</v>
      </c>
      <c r="C117" s="65">
        <f t="shared" si="1"/>
        <v>12.449464278484932</v>
      </c>
    </row>
    <row r="118" spans="1:3" ht="18" customHeight="1">
      <c r="A118" s="32" t="s">
        <v>129</v>
      </c>
      <c r="B118" s="69">
        <v>4.7E-2</v>
      </c>
      <c r="C118" s="65">
        <f t="shared" si="1"/>
        <v>11.90629246757709</v>
      </c>
    </row>
    <row r="119" spans="1:3" ht="18" customHeight="1">
      <c r="A119" s="32" t="s">
        <v>130</v>
      </c>
      <c r="B119" s="69">
        <v>0.14299999999999999</v>
      </c>
      <c r="C119" s="65">
        <f t="shared" si="1"/>
        <v>29.287790416628024</v>
      </c>
    </row>
    <row r="120" spans="1:3" ht="18" customHeight="1">
      <c r="A120" s="32" t="s">
        <v>131</v>
      </c>
      <c r="B120" s="69">
        <v>0.08</v>
      </c>
      <c r="C120" s="65">
        <f t="shared" si="1"/>
        <v>17.881182387563349</v>
      </c>
    </row>
    <row r="121" spans="1:3" ht="18" customHeight="1">
      <c r="A121" s="39" t="s">
        <v>132</v>
      </c>
      <c r="B121" s="70">
        <v>5.8999999999999997E-2</v>
      </c>
      <c r="C121" s="71">
        <f t="shared" si="1"/>
        <v>14.078979711208456</v>
      </c>
    </row>
    <row r="122" spans="1:3" ht="18" customHeight="1">
      <c r="A122" s="32" t="s">
        <v>133</v>
      </c>
      <c r="B122" s="69">
        <v>9.8000000000000004E-2</v>
      </c>
      <c r="C122" s="72">
        <f t="shared" si="1"/>
        <v>21.140213253010401</v>
      </c>
    </row>
    <row r="123" spans="1:3" ht="18" customHeight="1">
      <c r="A123" s="32" t="s">
        <v>134</v>
      </c>
      <c r="B123" s="69">
        <v>0.08</v>
      </c>
      <c r="C123" s="72">
        <f t="shared" si="1"/>
        <v>17.881182387563349</v>
      </c>
    </row>
    <row r="124" spans="1:3" ht="18" customHeight="1">
      <c r="A124" s="32" t="s">
        <v>135</v>
      </c>
      <c r="B124" s="69">
        <v>5.5E-2</v>
      </c>
      <c r="C124" s="72">
        <f t="shared" si="1"/>
        <v>13.354750629998</v>
      </c>
    </row>
    <row r="125" spans="1:3" ht="18" customHeight="1">
      <c r="A125" s="32" t="s">
        <v>136</v>
      </c>
      <c r="B125" s="69">
        <v>0.11600000000000001</v>
      </c>
      <c r="C125" s="72">
        <f t="shared" si="1"/>
        <v>24.39924411845745</v>
      </c>
    </row>
    <row r="126" spans="1:3" ht="18" customHeight="1">
      <c r="A126" s="32" t="s">
        <v>137</v>
      </c>
      <c r="B126" s="69">
        <v>5.5E-2</v>
      </c>
      <c r="C126" s="72">
        <f t="shared" si="1"/>
        <v>13.354750629998</v>
      </c>
    </row>
    <row r="127" spans="1:3" ht="18" customHeight="1">
      <c r="A127" s="40"/>
      <c r="B127" s="41"/>
      <c r="C127" s="31"/>
    </row>
    <row r="128" spans="1:3" ht="18" customHeight="1">
      <c r="A128" s="40"/>
      <c r="B128" s="41"/>
      <c r="C128" s="31"/>
    </row>
    <row r="129" spans="1:3" ht="18" customHeight="1">
      <c r="A129" s="40"/>
      <c r="B129" s="41"/>
      <c r="C129" s="31"/>
    </row>
    <row r="130" spans="1:3" ht="18" customHeight="1">
      <c r="A130" s="40"/>
      <c r="B130" s="41"/>
      <c r="C130" s="31"/>
    </row>
    <row r="131" spans="1:3" ht="18" customHeight="1">
      <c r="A131" s="40"/>
      <c r="B131" s="41"/>
      <c r="C131" s="31"/>
    </row>
    <row r="132" spans="1:3" ht="18" customHeight="1">
      <c r="A132" s="40"/>
      <c r="B132" s="41"/>
      <c r="C132" s="31"/>
    </row>
    <row r="133" spans="1:3" ht="18" customHeight="1"/>
    <row r="134" spans="1:3" ht="18" customHeight="1"/>
    <row r="135" spans="1:3" ht="18" customHeight="1"/>
    <row r="136" spans="1:3" ht="18" customHeight="1"/>
    <row r="137" spans="1:3" ht="18" customHeight="1"/>
    <row r="138" spans="1:3" ht="18" customHeight="1"/>
    <row r="139" spans="1:3" ht="18" customHeight="1"/>
    <row r="140" spans="1:3" ht="18" customHeight="1"/>
    <row r="141" spans="1:3" ht="18" customHeight="1"/>
    <row r="142" spans="1:3" ht="18" customHeight="1"/>
    <row r="143" spans="1:3" ht="18" customHeight="1"/>
    <row r="144" spans="1:3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</sheetData>
  <mergeCells count="14">
    <mergeCell ref="J3:K5"/>
    <mergeCell ref="C23:C24"/>
    <mergeCell ref="A1:B5"/>
    <mergeCell ref="J1:K2"/>
    <mergeCell ref="B23:B24"/>
    <mergeCell ref="A12:C12"/>
    <mergeCell ref="G6:K17"/>
    <mergeCell ref="E8:F8"/>
    <mergeCell ref="H77:I77"/>
    <mergeCell ref="E12:F12"/>
    <mergeCell ref="C1:I5"/>
    <mergeCell ref="A22:C22"/>
    <mergeCell ref="H76:I76"/>
    <mergeCell ref="A23:A24"/>
  </mergeCells>
  <pageMargins left="0" right="0" top="0.39370078740157499" bottom="0.39370078740157499" header="0" footer="0"/>
  <pageSetup paperSize="9" fitToWidth="0" fitToHeight="0" orientation="portrait"/>
  <headerFooter>
    <oddHeader>&amp;C&amp;A</oddHeader>
    <oddFooter>&amp;CPágina &amp;P</oddFooter>
  </headerFooter>
  <ignoredErrors>
    <ignoredError sqref="F14:F17 C36:C125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4F3D-7EF6-4B53-A854-95729333535F}">
  <dimension ref="C3:H12"/>
  <sheetViews>
    <sheetView workbookViewId="0">
      <selection activeCell="E12" sqref="E12"/>
    </sheetView>
  </sheetViews>
  <sheetFormatPr defaultRowHeight="12.75"/>
  <cols>
    <col min="3" max="3" width="13" customWidth="1"/>
    <col min="4" max="4" width="17.5703125" customWidth="1"/>
  </cols>
  <sheetData>
    <row r="3" spans="3:8">
      <c r="C3" s="122" t="s">
        <v>43</v>
      </c>
      <c r="D3" s="122"/>
    </row>
    <row r="5" spans="3:8">
      <c r="C5" s="74"/>
      <c r="D5" s="75" t="s">
        <v>38</v>
      </c>
      <c r="E5" s="75" t="s">
        <v>38</v>
      </c>
      <c r="F5" s="75" t="s">
        <v>38</v>
      </c>
      <c r="G5" s="75" t="s">
        <v>38</v>
      </c>
      <c r="H5" s="75" t="s">
        <v>38</v>
      </c>
    </row>
    <row r="6" spans="3:8">
      <c r="C6" s="76" t="s">
        <v>39</v>
      </c>
      <c r="D6" s="77" t="s">
        <v>40</v>
      </c>
      <c r="E6" s="77" t="s">
        <v>44</v>
      </c>
      <c r="F6" s="77" t="s">
        <v>45</v>
      </c>
      <c r="G6" s="77" t="s">
        <v>45</v>
      </c>
      <c r="H6" s="77" t="s">
        <v>45</v>
      </c>
    </row>
    <row r="7" spans="3:8">
      <c r="C7" s="76" t="s">
        <v>34</v>
      </c>
      <c r="D7" s="77">
        <v>350</v>
      </c>
      <c r="E7" s="77">
        <v>651</v>
      </c>
      <c r="F7" s="77" t="s">
        <v>24</v>
      </c>
      <c r="G7" s="77" t="s">
        <v>25</v>
      </c>
      <c r="H7" s="77" t="s">
        <v>26</v>
      </c>
    </row>
    <row r="8" spans="3:8">
      <c r="C8" s="76" t="s">
        <v>35</v>
      </c>
      <c r="D8" s="77">
        <v>9.98</v>
      </c>
      <c r="E8" s="77">
        <v>23.5</v>
      </c>
      <c r="F8" s="77"/>
      <c r="G8" s="77"/>
      <c r="H8" s="77"/>
    </row>
    <row r="9" spans="3:8">
      <c r="C9" s="76" t="s">
        <v>36</v>
      </c>
      <c r="D9" s="77">
        <v>14.712</v>
      </c>
      <c r="E9" s="77">
        <v>29.21</v>
      </c>
      <c r="F9" s="77">
        <v>34.409999999999997</v>
      </c>
      <c r="G9" s="77">
        <v>20.29</v>
      </c>
      <c r="H9" s="77">
        <v>37.590000000000003</v>
      </c>
    </row>
    <row r="10" spans="3:8">
      <c r="C10" s="76" t="s">
        <v>37</v>
      </c>
      <c r="D10" s="77">
        <v>19.443000000000001</v>
      </c>
      <c r="E10" s="77">
        <v>34.9</v>
      </c>
      <c r="F10" s="77"/>
      <c r="G10" s="77"/>
      <c r="H10" s="77"/>
    </row>
    <row r="11" spans="3:8">
      <c r="C11" s="76" t="s">
        <v>41</v>
      </c>
      <c r="D11" s="79">
        <f>'Dados_-_Análise'!C29</f>
        <v>14.984266062721527</v>
      </c>
      <c r="E11" s="79">
        <f>'Dados_-_Análise'!C30</f>
        <v>30.374134038443707</v>
      </c>
      <c r="F11" s="79">
        <f>'Dados_-_Análise'!C26</f>
        <v>30.555191308746323</v>
      </c>
      <c r="G11" s="79">
        <f>'Dados_-_Análise'!C27</f>
        <v>18.062239657865963</v>
      </c>
      <c r="H11" s="79">
        <f>'Dados_-_Análise'!C28</f>
        <v>32.003649471167236</v>
      </c>
    </row>
    <row r="12" spans="3:8">
      <c r="C12" s="76" t="s">
        <v>42</v>
      </c>
      <c r="D12" s="78">
        <f>(D11/D9)*100</f>
        <v>101.8506393605324</v>
      </c>
      <c r="E12" s="78">
        <f>(E11/E9)*100</f>
        <v>103.98539554414141</v>
      </c>
      <c r="F12" s="78">
        <f>(F11/F9)*100</f>
        <v>88.797417345964334</v>
      </c>
      <c r="G12" s="78">
        <f>(G11/G9)*100</f>
        <v>89.020402453750435</v>
      </c>
      <c r="H12" s="78">
        <f>(H11/H9)*100</f>
        <v>85.138732298928531</v>
      </c>
    </row>
  </sheetData>
  <mergeCells count="1">
    <mergeCell ref="C3:D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Dados_-_Análise</vt:lpstr>
      <vt:lpstr>Verificaçao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Lima</dc:creator>
  <cp:lastModifiedBy>Laboratório Quimico Agrorobótica</cp:lastModifiedBy>
  <cp:revision>64</cp:revision>
  <dcterms:created xsi:type="dcterms:W3CDTF">2025-07-24T08:19:46Z</dcterms:created>
  <dcterms:modified xsi:type="dcterms:W3CDTF">2026-04-10T17:14:58Z</dcterms:modified>
</cp:coreProperties>
</file>